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 TUF\Downloads\"/>
    </mc:Choice>
  </mc:AlternateContent>
  <xr:revisionPtr revIDLastSave="0" documentId="13_ncr:1_{160A8FBC-3C40-42E1-AA86-F4F7BB2BECC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bleau de Bord" sheetId="1" r:id="rId1"/>
    <sheet name="Catalogue" sheetId="2" r:id="rId2"/>
    <sheet name="Mouve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D15" i="1" a="1"/>
  <c r="D15" i="1" s="1"/>
  <c r="C15" i="1"/>
  <c r="E14" i="1"/>
  <c r="D14" i="1" a="1"/>
  <c r="D14" i="1" s="1"/>
  <c r="C14" i="1"/>
  <c r="E13" i="1"/>
  <c r="D13" i="1" a="1"/>
  <c r="D13" i="1" s="1"/>
  <c r="C13" i="1"/>
  <c r="E12" i="1"/>
  <c r="D12" i="1" a="1"/>
  <c r="D12" i="1" s="1"/>
  <c r="C12" i="1"/>
  <c r="E11" i="1"/>
  <c r="D11" i="1" a="1"/>
  <c r="D11" i="1" s="1"/>
  <c r="D16" i="1" s="1"/>
  <c r="C11" i="1"/>
  <c r="C16" i="1" s="1"/>
  <c r="H6" i="1"/>
  <c r="F6" i="1" a="1"/>
  <c r="F6" i="1" s="1"/>
  <c r="D6" i="1" a="1"/>
  <c r="D6" i="1" s="1"/>
  <c r="B6" i="1"/>
  <c r="E16" i="1" l="1"/>
</calcChain>
</file>

<file path=xl/sharedStrings.xml><?xml version="1.0" encoding="utf-8"?>
<sst xmlns="http://schemas.openxmlformats.org/spreadsheetml/2006/main" count="2466" uniqueCount="663">
  <si>
    <t>JOURNAL DES MOUVEMENTS (ENTRÉES / SORTIES)</t>
  </si>
  <si>
    <t>Saisie quotidienne de toutes les ventes en caisse et des réapprovisionnements</t>
  </si>
  <si>
    <t>Date</t>
  </si>
  <si>
    <t>Type Mouvement</t>
  </si>
  <si>
    <t>Code Article</t>
  </si>
  <si>
    <t>Catégorie</t>
  </si>
  <si>
    <t>Quantité</t>
  </si>
  <si>
    <t>Prix Unitaire (FCFA)</t>
  </si>
  <si>
    <t>Total FCFA</t>
  </si>
  <si>
    <t>Client / Fournisseur</t>
  </si>
  <si>
    <t>Désignation</t>
  </si>
  <si>
    <t>2026-08-20</t>
  </si>
  <si>
    <t>Entrée</t>
  </si>
  <si>
    <t>ART-001</t>
  </si>
  <si>
    <t>SOCIMAT Fournisseur</t>
  </si>
  <si>
    <t>ART-002</t>
  </si>
  <si>
    <t>SOTACI Ferraille</t>
  </si>
  <si>
    <t>2026-08-21</t>
  </si>
  <si>
    <t>Sortie</t>
  </si>
  <si>
    <t>Entreprise BTP PHOENIX</t>
  </si>
  <si>
    <t>Client Comptoir - M. Traoré</t>
  </si>
  <si>
    <t>ART-003</t>
  </si>
  <si>
    <t>Plombier Kouassi</t>
  </si>
  <si>
    <t>2026-08-22</t>
  </si>
  <si>
    <t>ART-005</t>
  </si>
  <si>
    <t>Electricien Koffi</t>
  </si>
  <si>
    <t>ART-004</t>
  </si>
  <si>
    <t>Peintures SIPEC</t>
  </si>
  <si>
    <t>Client Particulier</t>
  </si>
  <si>
    <t>ART-006</t>
  </si>
  <si>
    <t>Chantier Résidence Angré</t>
  </si>
  <si>
    <t>Client BTP - Extension Villa</t>
  </si>
  <si>
    <t>TOTAL DES FLUX</t>
  </si>
  <si>
    <t>2026-09-28</t>
  </si>
  <si>
    <t>ART-PIN</t>
  </si>
  <si>
    <t>PINCEAU N°70</t>
  </si>
  <si>
    <t>Client Comptoir</t>
  </si>
  <si>
    <t>PINCEAU N°50</t>
  </si>
  <si>
    <t>ART-CHE</t>
  </si>
  <si>
    <t>CHEVILLE + VIS N°12 25PCS/BTE</t>
  </si>
  <si>
    <t>2A-COMMERCE QUINCAILLERIE - TABLEAU DE BORD</t>
  </si>
  <si>
    <t>Indicateurs clés de performance &amp; suivi global du stock</t>
  </si>
  <si>
    <t>CHIFFRE D'AFFAIRES TOTAL</t>
  </si>
  <si>
    <t>MARGE BRUTE TOTALE</t>
  </si>
  <si>
    <t>VALEUR DU STOCK ACTUEL</t>
  </si>
  <si>
    <t>ARTICLES EN ALERTE</t>
  </si>
  <si>
    <t>RÉCAPITULATIF PAR CATÉGORIE</t>
  </si>
  <si>
    <t>Nb Articles</t>
  </si>
  <si>
    <t>Valeur Stock (Achat)</t>
  </si>
  <si>
    <t>Ventes Cumulées (FCFA)</t>
  </si>
  <si>
    <t>Gros œuvre</t>
  </si>
  <si>
    <t>Ferraille</t>
  </si>
  <si>
    <t>Plomberie</t>
  </si>
  <si>
    <t>Électricité</t>
  </si>
  <si>
    <t>Outillage / Peinture</t>
  </si>
  <si>
    <t>TOTAL</t>
  </si>
  <si>
    <t>CATALOGUE &amp; ÉTAT DU STOCK</t>
  </si>
  <si>
    <t>Liste des articles, tarification et suivi automatisé des stocks</t>
  </si>
  <si>
    <t>Marque</t>
  </si>
  <si>
    <t>Unité</t>
  </si>
  <si>
    <t>Prix au  Mètre/Kg</t>
  </si>
  <si>
    <t>Prix Achat (FCFA)</t>
  </si>
  <si>
    <t>Prix Vente (FCFA)</t>
  </si>
  <si>
    <t>Marge (%)</t>
  </si>
  <si>
    <t>Stock Initial</t>
  </si>
  <si>
    <t>Seuil mini de vente</t>
  </si>
  <si>
    <t>Seuil mini de vente au metre/Kg</t>
  </si>
  <si>
    <t>Entrées</t>
  </si>
  <si>
    <t>Sorties</t>
  </si>
  <si>
    <t>Stock Actuel</t>
  </si>
  <si>
    <t>Seuil Alerte</t>
  </si>
  <si>
    <t>Statut Stock</t>
  </si>
  <si>
    <t>Valeur Stock (FCFA)</t>
  </si>
  <si>
    <t>CIM IVOIRE</t>
  </si>
  <si>
    <t>Ciment CPJ 42.5 (Sachet 50kg)</t>
  </si>
  <si>
    <t>Sac</t>
  </si>
  <si>
    <t>RÉAPPROVISIONNER</t>
  </si>
  <si>
    <t>SOTICI</t>
  </si>
  <si>
    <t>Fer à béton Ø 10 (Barre 12m)</t>
  </si>
  <si>
    <t>Barre</t>
  </si>
  <si>
    <t>TUYAUX PRESSION  16/20 6M PN 10</t>
  </si>
  <si>
    <t>OK</t>
  </si>
  <si>
    <t>DELUX INDUSTRAP</t>
  </si>
  <si>
    <t>Delux Peinture Vinilique Mat 30Kg EXT</t>
  </si>
  <si>
    <t>Seau</t>
  </si>
  <si>
    <t>Delux Peinture Vinilique Mat 30Kg INT</t>
  </si>
  <si>
    <t>PLASTICABLE</t>
  </si>
  <si>
    <t>Câble Électrique TH 2X1.5 (Rouleau 100m)</t>
  </si>
  <si>
    <t>Rouleau</t>
  </si>
  <si>
    <t>B METERS</t>
  </si>
  <si>
    <t>SOUS COMPTEUR D'EAU EN FER GM</t>
  </si>
  <si>
    <t>FORCE</t>
  </si>
  <si>
    <t>INDUSTRAP</t>
  </si>
  <si>
    <t xml:space="preserve">Milano Peinture Vinilique  5Kg INT/EXT </t>
  </si>
  <si>
    <t>Milano Peinture Vinilique  15Kg INT/EXT</t>
  </si>
  <si>
    <t>Milano Peinture Vinilique  30Kg INT/EXT</t>
  </si>
  <si>
    <t xml:space="preserve">TRAPEAU INT 5Kg </t>
  </si>
  <si>
    <t xml:space="preserve">TRAPEAU INT 15Kg </t>
  </si>
  <si>
    <t xml:space="preserve">TRAPEAU INT 30Kg </t>
  </si>
  <si>
    <t>SNPC</t>
  </si>
  <si>
    <t>SUPER PLUS INT/EXT 5Kg</t>
  </si>
  <si>
    <t>SUPER PLUS INT/EXT 15Kg</t>
  </si>
  <si>
    <t>SIPPEC</t>
  </si>
  <si>
    <t>COUDE PVC 110 EVAC</t>
  </si>
  <si>
    <t>Tuyaux</t>
  </si>
  <si>
    <t>SETR</t>
  </si>
  <si>
    <t>BUTUME 20Kg</t>
  </si>
  <si>
    <t>MEGALEC</t>
  </si>
  <si>
    <t>COFFRET 2 MODULES APPARENT 2702</t>
  </si>
  <si>
    <t>Flexible de Mitigeur 60CM WK-JN04</t>
  </si>
  <si>
    <t>CHEVAL</t>
  </si>
  <si>
    <t>Colorant Jaune Oxyde</t>
  </si>
  <si>
    <t xml:space="preserve">Colorant Jaune Vert </t>
  </si>
  <si>
    <t>Colorant Jaune Violet</t>
  </si>
  <si>
    <t>Colorant Jaune Orange</t>
  </si>
  <si>
    <t>Colorant Jaune Rouge</t>
  </si>
  <si>
    <t>Colorant noir</t>
  </si>
  <si>
    <t>EMTOP</t>
  </si>
  <si>
    <t>Maillet en caoutchouc blanc 8OZ/220G/marteau pour carreaux</t>
  </si>
  <si>
    <t>HERO</t>
  </si>
  <si>
    <t>Baguette Chinoise 2.5/CT</t>
  </si>
  <si>
    <t>Baguette Chinoise 3.15/CT</t>
  </si>
  <si>
    <t>ROBINET PUISAGE A BOISSEAU 16/20</t>
  </si>
  <si>
    <t>MAROC</t>
  </si>
  <si>
    <t>Gamette</t>
  </si>
  <si>
    <t>PORTE PAPIER PLASTIQUE</t>
  </si>
  <si>
    <t>PORTE SAVON PLASTIQUE</t>
  </si>
  <si>
    <t>TABLETTE EN PLASTIQUE</t>
  </si>
  <si>
    <t>PORTE SERVIETTE EN PLASTIQUE</t>
  </si>
  <si>
    <t>PORTE SERVIETTECHROME 2 BRANCHES</t>
  </si>
  <si>
    <t>TABLETTE EN ACIER 40CM</t>
  </si>
  <si>
    <t>ENSEMNLE DE DOUCHE TRANSPARENT 6800</t>
  </si>
  <si>
    <t>ENSEMBLE</t>
  </si>
  <si>
    <t>ABATTANT DE WC LOURD 2003/J850B</t>
  </si>
  <si>
    <t>ROULEAU A PEINDRE N°4</t>
  </si>
  <si>
    <t>ROULEAU A PEINDRE N°8</t>
  </si>
  <si>
    <t>ROULEAUX A PEINDRE N°1O</t>
  </si>
  <si>
    <t>France MODELE</t>
  </si>
  <si>
    <t>PINCEAU N°80</t>
  </si>
  <si>
    <t>PINCEAU N°40</t>
  </si>
  <si>
    <t>PINCEAU N°60</t>
  </si>
  <si>
    <t>PINCEAU N°30</t>
  </si>
  <si>
    <t>CHEVILLE + VIS N°10 50PCS/BTE</t>
  </si>
  <si>
    <t>EVIER ORD DE CUISINE 1 TROU 1000X500X140</t>
  </si>
  <si>
    <t>GLOBE LED 24W</t>
  </si>
  <si>
    <t>FLEXIBLE DE DOUCHE WK-SH04</t>
  </si>
  <si>
    <t>PAINIE</t>
  </si>
  <si>
    <t xml:space="preserve">ROBINET DE CUISINE </t>
  </si>
  <si>
    <t>ROBINET DE LAVABO</t>
  </si>
  <si>
    <t>ROBINET DE DOUCHE</t>
  </si>
  <si>
    <t>EMAIL Couleur Or</t>
  </si>
  <si>
    <t>Boite</t>
  </si>
  <si>
    <t>EMAIL autres couleurs</t>
  </si>
  <si>
    <t>ANTIROUILLE 1KG</t>
  </si>
  <si>
    <t>AK PLAST CI</t>
  </si>
  <si>
    <t>SEAU NOIR</t>
  </si>
  <si>
    <t>ORIGINAL PEINTURE A EAU 15KG</t>
  </si>
  <si>
    <t>Colle Tangit Tube PM 50G-368</t>
  </si>
  <si>
    <t>IFAN</t>
  </si>
  <si>
    <t>RACCORD UNION PVC 50</t>
  </si>
  <si>
    <t xml:space="preserve">EMBOUT PVC D50 </t>
  </si>
  <si>
    <t>Delux Peinture Glycero gris clair  4Kg</t>
  </si>
  <si>
    <t>FADCO</t>
  </si>
  <si>
    <t>SOSA ROBINET LAVABO BEC LONG ROS4009</t>
  </si>
  <si>
    <t>SOSA ROBINET EVIER MURAL BEC "C" ROS4012</t>
  </si>
  <si>
    <t>ILDA MITIGEUR LAVABO 1101</t>
  </si>
  <si>
    <t>ILDA MITIGEUR DOUCHE 1104</t>
  </si>
  <si>
    <t>ILDA MITIGEUR CUISINE 1105</t>
  </si>
  <si>
    <t>ROBINET DOUCHE TWIST ROS4109</t>
  </si>
  <si>
    <t>ROBINET LAVABO TWIST ROS4101</t>
  </si>
  <si>
    <t>ROBINET CUISINE TWIST ROS4106</t>
  </si>
  <si>
    <t>ROBINET PUISAGE A BOISSEAU 20/25</t>
  </si>
  <si>
    <t>ROBINET D'ARRET  A BOISSEAU 16/20</t>
  </si>
  <si>
    <t>ROBINET D'ARRET  A BOISSEAU 20/25</t>
  </si>
  <si>
    <t xml:space="preserve">MECANISME OLI </t>
  </si>
  <si>
    <t xml:space="preserve">MECANISME POUSSOIRE FLOTEUR S/B </t>
  </si>
  <si>
    <t>ROBINET EQUERRE DOUBLE SODA</t>
  </si>
  <si>
    <t>SHUT OFF SOSA BLANC-101 ALW</t>
  </si>
  <si>
    <t>SIKA</t>
  </si>
  <si>
    <t>SIKACERAM Mortier-Colles</t>
  </si>
  <si>
    <t>TES PPR 20/25</t>
  </si>
  <si>
    <t>TES PPR 16/20</t>
  </si>
  <si>
    <t>BOUCHON GALVA 20/25 FEMELLE</t>
  </si>
  <si>
    <t>BOUCHON GALVA 20/25 MAL</t>
  </si>
  <si>
    <t>BOUCHON GALVA 16/20 FEMELLE</t>
  </si>
  <si>
    <t>BOUCHON GALVA 16/20 MAL</t>
  </si>
  <si>
    <t>VERNIS CLAIR 1L</t>
  </si>
  <si>
    <t>VERNIS ROUGE 1L</t>
  </si>
  <si>
    <t>VERNIS ROUGE 4L</t>
  </si>
  <si>
    <t>VERNIS CLAIR 4L</t>
  </si>
  <si>
    <t>VERNIS A EAU 1L</t>
  </si>
  <si>
    <t>COLLIER EN FER+CAOUTCHOUC D100</t>
  </si>
  <si>
    <t>COLLIER EN FER+CAOUTCHOUC D110</t>
  </si>
  <si>
    <t>COLLIER EN FER+CAOUTCHOUC D125</t>
  </si>
  <si>
    <t>COLLIER EN FER+CAOUTCHOUC D32</t>
  </si>
  <si>
    <t>COLLIER EN FER+CAOUTCHOUC D40</t>
  </si>
  <si>
    <t>COLLIER EN FER+CAOUTCHOUC D25</t>
  </si>
  <si>
    <t>COLLIER EN FER+CAOUTCHOUC D10</t>
  </si>
  <si>
    <t xml:space="preserve">SERRURE DE PORTE MAISON BLANCE </t>
  </si>
  <si>
    <t>COUDE PVC 160 EVAC</t>
  </si>
  <si>
    <t>TES PVC 160 EVAC</t>
  </si>
  <si>
    <t>TUYAUX EVAC 160 PVC LONG 6M</t>
  </si>
  <si>
    <t>VIS DE RAPPEL (100U)</t>
  </si>
  <si>
    <t>COUDE PRESSION N°32</t>
  </si>
  <si>
    <t>COUDE PRESSION 1/4 N°40</t>
  </si>
  <si>
    <t>COUDE PRESSION 1/4 N°63</t>
  </si>
  <si>
    <t xml:space="preserve">ROBINET EQUERRE </t>
  </si>
  <si>
    <t>FIXATION LAVABO</t>
  </si>
  <si>
    <t>FLEXIBLE SERPENTINE WC MF</t>
  </si>
  <si>
    <t>FLEXIBLE SERPENTINE LAVABO MF</t>
  </si>
  <si>
    <t>FLEXIBLE SERPENTINE LAVABO FF</t>
  </si>
  <si>
    <t>ROULEAU TUYAU PEX N12/16 BLEU</t>
  </si>
  <si>
    <t>ROULEAU TUYAU PEX N12/16 BLANC</t>
  </si>
  <si>
    <t>DOUZAINE DE PAUMELLE ACIER 140X55</t>
  </si>
  <si>
    <t>GRIFFE N°8/10</t>
  </si>
  <si>
    <t>GRIFFE N°6/8</t>
  </si>
  <si>
    <t>GRIFFE N°12/14</t>
  </si>
  <si>
    <t>GRIFFE N°10/12</t>
  </si>
  <si>
    <t>GRIFFE N°14/16</t>
  </si>
  <si>
    <t>REDUCTION  PRESSION 16 N°40/32</t>
  </si>
  <si>
    <t>ENDUIT VINYLIQUE INTERIEUR 30KG</t>
  </si>
  <si>
    <t>ENDUIT VINYLIQUE PATEUX R300  30KG</t>
  </si>
  <si>
    <t>IDEAL</t>
  </si>
  <si>
    <t>VERNIS MARIN 1L</t>
  </si>
  <si>
    <t>TUYAUX EVAC 100 PVC LONG 6M</t>
  </si>
  <si>
    <t>TUYAUX EVAC 75 PVC LONG 6M</t>
  </si>
  <si>
    <t>TUYAUX EVAC 110 PVC LONG 6M</t>
  </si>
  <si>
    <t>TUYAUX EVAC 125 PVC LONG 6M/ 1.5</t>
  </si>
  <si>
    <t>TUYAUX EVAC 40 PVC LONG 6M</t>
  </si>
  <si>
    <t>TUYAUX EVAC 32  PVC LONG 6M</t>
  </si>
  <si>
    <t>TUYAUX EVAC 16/20 PVC LONG 6M</t>
  </si>
  <si>
    <t>TUYAUX EVAC 20/25 PVC LONG 6M</t>
  </si>
  <si>
    <t>Brique creuse 15x20x40</t>
  </si>
  <si>
    <t>ART-007</t>
  </si>
  <si>
    <t>Robinet mélangeur lavabo Chrome</t>
  </si>
  <si>
    <t>ART-008</t>
  </si>
  <si>
    <t>Disjoncteur Diviseur 16A Schneider</t>
  </si>
  <si>
    <t>ART-009</t>
  </si>
  <si>
    <t>Pince multiprise 250mm Knipex</t>
  </si>
  <si>
    <t>ART-010</t>
  </si>
  <si>
    <t>Graveleux silico-calcairisé (Sachets 25kg)</t>
  </si>
  <si>
    <t>DINGQI</t>
  </si>
  <si>
    <t>SCIE A METEAUX</t>
  </si>
  <si>
    <t>GENERIC</t>
  </si>
  <si>
    <t>BALAIS MAISON</t>
  </si>
  <si>
    <t>PAQUET DE COLLIER SERRAGE INOX  TUYAUX GAZ</t>
  </si>
  <si>
    <t>PAQUET DE COLLIER ATTACHES PLASTIQUE</t>
  </si>
  <si>
    <t>TRUELLE MACON N°7</t>
  </si>
  <si>
    <t>TRUELLE MACON N°8</t>
  </si>
  <si>
    <t>TETE DE GAZ ALUMINUM</t>
  </si>
  <si>
    <t>ROULEAU A PEINDRE VERT N°10</t>
  </si>
  <si>
    <t>METRE DE POCHE 5M</t>
  </si>
  <si>
    <t>JCTOP</t>
  </si>
  <si>
    <t xml:space="preserve">METRE DE POCHE 5M </t>
  </si>
  <si>
    <t>PAQUET CADENAS 30</t>
  </si>
  <si>
    <t>paquet</t>
  </si>
  <si>
    <t>PAQUET CADENAS 55M</t>
  </si>
  <si>
    <t xml:space="preserve">POIGNET DE PORTE </t>
  </si>
  <si>
    <t xml:space="preserve">ROBIWANG </t>
  </si>
  <si>
    <t>VACHETTE SERRURE DE PORTE</t>
  </si>
  <si>
    <t>LINCY</t>
  </si>
  <si>
    <t>FLEXIBLE DE DOUCHE GROS NOIR</t>
  </si>
  <si>
    <t>FLEXIBLE DE DOUCHE PLAT</t>
  </si>
  <si>
    <t>FLEXIBLE DE DOUCHE  NOIR</t>
  </si>
  <si>
    <t>TUBE ORANGE N°11</t>
  </si>
  <si>
    <t>TUBE ORANGE N°13</t>
  </si>
  <si>
    <t>DELUX BOITE RONDE X100</t>
  </si>
  <si>
    <t>POINTE ACIER</t>
  </si>
  <si>
    <t>TIM</t>
  </si>
  <si>
    <t>POINTE N10</t>
  </si>
  <si>
    <t>POINTE N9</t>
  </si>
  <si>
    <t>POINTE N8</t>
  </si>
  <si>
    <t>POINTE N7</t>
  </si>
  <si>
    <t>POINTE N6</t>
  </si>
  <si>
    <t>POINTE N5</t>
  </si>
  <si>
    <t>POINTE N4</t>
  </si>
  <si>
    <t>POINTE N3</t>
  </si>
  <si>
    <t>SOTACI</t>
  </si>
  <si>
    <t>FIL-F6S / FIL DE FER RECUIT 5KG</t>
  </si>
  <si>
    <t>COLLE COLOMBE 1L</t>
  </si>
  <si>
    <t>DETENTEUR DE GAZ LOURD+CLE</t>
  </si>
  <si>
    <t>METRE DE POCHE 3M</t>
  </si>
  <si>
    <t>BOITE ENCASTREE 294X152</t>
  </si>
  <si>
    <t>DELUX GLYCERO 4KG JAUNE</t>
  </si>
  <si>
    <t>MILANO PEINTURE A EAU IN-EXT 30KG</t>
  </si>
  <si>
    <t>STAR</t>
  </si>
  <si>
    <t>CABLE TV GULF NOIR 100M</t>
  </si>
  <si>
    <t xml:space="preserve">CABLE DE RESEAU CAT6 FTP 305M GULF </t>
  </si>
  <si>
    <t>ROULEAU TH 1.5 BLEU</t>
  </si>
  <si>
    <t>ROULEAU TH 1.5 ROUGE</t>
  </si>
  <si>
    <t>ROULEAU TH 1.5 JAUNE/VERT</t>
  </si>
  <si>
    <t>ROULEAU TH 1.5 MARRON</t>
  </si>
  <si>
    <t>ROULEAU TH 1.5 NOIR</t>
  </si>
  <si>
    <t>ROULEAU TH 2.5 BLEU</t>
  </si>
  <si>
    <t>ROULEAU TH 2.5 ROUGE</t>
  </si>
  <si>
    <t>ROULEAU TH 2.5 JAUNE/VERT</t>
  </si>
  <si>
    <t>ROULEAU TH 2.5 NOIR</t>
  </si>
  <si>
    <t>ROULEAU TH 2.5 MARRON</t>
  </si>
  <si>
    <t>ROULEAU CABLE 2X1.5</t>
  </si>
  <si>
    <t>ROULEAU CABLE 2X2.5</t>
  </si>
  <si>
    <t>ROULEAU CABLE 3X1.5</t>
  </si>
  <si>
    <t>ROULEAU CABLE 3X2.5</t>
  </si>
  <si>
    <t>SCOTCH PVC NOIR 10M</t>
  </si>
  <si>
    <t>VENTILATEUR METRO</t>
  </si>
  <si>
    <t>FILTRE D'EAU A 2 CARTOUCHE GM 64031-2</t>
  </si>
  <si>
    <t>TUYAUX PRESSION  20/25 6M PN 10</t>
  </si>
  <si>
    <t>FORET SDS PLUS MARTEAU PERFORATEUR 10X160M/MECHE</t>
  </si>
  <si>
    <t>FORET SDS PLUS MARTEAU PERFORATEUR 8X160M/MECHE</t>
  </si>
  <si>
    <t>FORET SDS PLUS MARTEAU PERFORATEUR 6X160M/MECHE</t>
  </si>
  <si>
    <t>TOURNEVIS PHILLIPS LAME RONDE ELECTRICIEN 100MM</t>
  </si>
  <si>
    <t>AMPLOULE 20W NOIR</t>
  </si>
  <si>
    <t>AMPLOULE 30W NOIR</t>
  </si>
  <si>
    <t>AMPLOULE 40W NOIR</t>
  </si>
  <si>
    <t>AMPLOULE 50W NOIR</t>
  </si>
  <si>
    <t>NIVEAU N40 CARRE</t>
  </si>
  <si>
    <t>NIVEAU N50 CARRE</t>
  </si>
  <si>
    <t>NIVEAU N80 CARRE</t>
  </si>
  <si>
    <t>PAQUET CUTER</t>
  </si>
  <si>
    <t>CUTER PLIABLE</t>
  </si>
  <si>
    <t>Maillet en caoutchouc GRAND/marteau pour carreaux</t>
  </si>
  <si>
    <t>BOMBE PEINTURE  AUTRES COULEURS</t>
  </si>
  <si>
    <t xml:space="preserve">BOMBLE PLEINTURE GRIS </t>
  </si>
  <si>
    <t>TOURNEVIS TESTER GRAND COULEUR</t>
  </si>
  <si>
    <t>GANS</t>
  </si>
  <si>
    <t>PINCE PETIT</t>
  </si>
  <si>
    <t>SPATULE/GRATTOIR N2</t>
  </si>
  <si>
    <t>SPATULE/GRATTOIR N3</t>
  </si>
  <si>
    <t>BROUSSE WC</t>
  </si>
  <si>
    <t>CORDELESSE</t>
  </si>
  <si>
    <t>Maillet en caoutchouc moyen /marteau pour carreaux</t>
  </si>
  <si>
    <t>Maillet en caoutchouc petit /marteau pour carreaux</t>
  </si>
  <si>
    <t>TALOCHE PLASTIQUE NOIR MANCHE PLASTIQUE</t>
  </si>
  <si>
    <t>SPATULE/GRATTOIR N16</t>
  </si>
  <si>
    <t>SPATULE/GRATTOIR N18</t>
  </si>
  <si>
    <t>SPATULE/GRATTOIR N20</t>
  </si>
  <si>
    <t>SPATULE/GRATTOIR N22</t>
  </si>
  <si>
    <t>BACHE NOIR/SACHET  NOIR 25KG</t>
  </si>
  <si>
    <t>CISEAUX DE JARDIN A MAIN 22 (557MM) epsr§"à&amp;àé</t>
  </si>
  <si>
    <t>INTERRUPTEUR DVV GRIS</t>
  </si>
  <si>
    <t>INTERRUPTEUR SVV GRIS</t>
  </si>
  <si>
    <t>PRISE COURANT GRIS</t>
  </si>
  <si>
    <t>MIDEA</t>
  </si>
  <si>
    <t>PROJECTEUR LED 50W 6500K</t>
  </si>
  <si>
    <t>PROJECTEUR LED 100W 6500K</t>
  </si>
  <si>
    <t>PROJECTEUR SOLAIRE 15W 650K</t>
  </si>
  <si>
    <t>PINCEAU CALLIGRAPHE</t>
  </si>
  <si>
    <t>GRIFFE</t>
  </si>
  <si>
    <t xml:space="preserve">MANCHON PEX 18 </t>
  </si>
  <si>
    <t>GOULOTTE 1 PASSAGE/ MOULURE AUTOCOLLANT 25X16</t>
  </si>
  <si>
    <t>PRISE APPARENTE COURANT LUXE</t>
  </si>
  <si>
    <t xml:space="preserve">PRISE ETANCHE APPARENTE COURANT </t>
  </si>
  <si>
    <t>REDUCTION 160/125 PVC</t>
  </si>
  <si>
    <t>COUDE PVC 125 EVAC</t>
  </si>
  <si>
    <t>CISEAU SUR PLAQUETTE</t>
  </si>
  <si>
    <t>ISOPLAST BLANC 25KG</t>
  </si>
  <si>
    <t>COLLORANT NOIR</t>
  </si>
  <si>
    <t>DOUZAINE DE CROCHETS XX-10</t>
  </si>
  <si>
    <t>DOUZAINE DE CROCHETS XX-8</t>
  </si>
  <si>
    <t>DOUZAINE DE CROCHETS NOIRS N°2</t>
  </si>
  <si>
    <t>DISMATIQUE</t>
  </si>
  <si>
    <t>LE GRAND</t>
  </si>
  <si>
    <t>DPN 1ER CHOIX 20A</t>
  </si>
  <si>
    <t>PRISE COURANT LOTUS</t>
  </si>
  <si>
    <t>INTERRUPTEUR DVV ANNEAU DORE 2002/20G</t>
  </si>
  <si>
    <t>PRISE T ETANCHE ANNEAU DORE 2037G</t>
  </si>
  <si>
    <t>PERICAL 1L</t>
  </si>
  <si>
    <t>LA PERCHE</t>
  </si>
  <si>
    <t xml:space="preserve">SERRURE DE PORTE </t>
  </si>
  <si>
    <t>MEGGO</t>
  </si>
  <si>
    <t xml:space="preserve">SERURE DE PORTE MEGGO </t>
  </si>
  <si>
    <t xml:space="preserve">SERRURE DE DOUCHE </t>
  </si>
  <si>
    <t>BATILO</t>
  </si>
  <si>
    <t>COLLE ALPHA 110</t>
  </si>
  <si>
    <t>FIL ETEINT</t>
  </si>
  <si>
    <t>SCOTCH TRANSPARENT PETIT CLAIR</t>
  </si>
  <si>
    <t>SCOTCH TRANSPARENT PETIT  FONCE</t>
  </si>
  <si>
    <t>SCOTCH TRANSPARENT GRAND</t>
  </si>
  <si>
    <t>SCIE MENUISIER N°16</t>
  </si>
  <si>
    <t>SCIE MENUISIER N°18</t>
  </si>
  <si>
    <t xml:space="preserve">RACCORD MIX 32/25 </t>
  </si>
  <si>
    <t xml:space="preserve">Plomberie </t>
  </si>
  <si>
    <t xml:space="preserve">SIPHON 32 </t>
  </si>
  <si>
    <t>ACIDE MURIATIQUE 0.9L</t>
  </si>
  <si>
    <t>VERNIS MAT 1L</t>
  </si>
  <si>
    <t>DELUX 1KG COULEUR PEINTURE</t>
  </si>
  <si>
    <t>BOUCHON PPR MALE 16/20</t>
  </si>
  <si>
    <t>BOUCHON PPR MALE 20/25</t>
  </si>
  <si>
    <t>BOUCHON PPR FEMELLE  20/25</t>
  </si>
  <si>
    <t>BOUCHON PPR FEMELLE  16/20</t>
  </si>
  <si>
    <t>RACCORD UNION PPR 16/20</t>
  </si>
  <si>
    <t>COUDE PEX FILETE FEMELLE 14/18 X 1/2</t>
  </si>
  <si>
    <t>NOURISSE 4 SORTIES</t>
  </si>
  <si>
    <t>NOURISSE 3 SORTIES</t>
  </si>
  <si>
    <t>NOURISSE 5 SORTIES</t>
  </si>
  <si>
    <t>NOURISSE 2 SORTIES</t>
  </si>
  <si>
    <t>VANE PPR 20/25</t>
  </si>
  <si>
    <t>BOUCHON LAITON MALE 15/21</t>
  </si>
  <si>
    <t>BOUCHON LAITON FEMELLE 15/21</t>
  </si>
  <si>
    <t>MAMELON MALE MALE 15/21</t>
  </si>
  <si>
    <t>ROULEAU TUYAU PEX BLEU 14/8</t>
  </si>
  <si>
    <t>COUDE PVC 32 EVAC</t>
  </si>
  <si>
    <t>COUDE PVC 40 EVAC</t>
  </si>
  <si>
    <t>COUDE PVC 75 EVAC</t>
  </si>
  <si>
    <t>COUDE PVC 100 EVAC</t>
  </si>
  <si>
    <t>COUDE FILETE PEX 12/16 X 1/2</t>
  </si>
  <si>
    <t>COUDE PEX 12/16</t>
  </si>
  <si>
    <t>ECROU LIBRE PEX 12/16 X 1/2</t>
  </si>
  <si>
    <t>MANCHON PEX 12/16</t>
  </si>
  <si>
    <t xml:space="preserve">TE PEX 12/16 </t>
  </si>
  <si>
    <t>COUDE A ECROU LIBRE 12/16 X 1/2</t>
  </si>
  <si>
    <t>COUDE PEX 14/18</t>
  </si>
  <si>
    <t>TE PEX 14/8</t>
  </si>
  <si>
    <t>ECROU LIBRE PEX 14/18 X 1/2</t>
  </si>
  <si>
    <t>RACCORD UNION PPR 20/25</t>
  </si>
  <si>
    <t>RACCORD UNION PPR 32</t>
  </si>
  <si>
    <t>RACCORD UNION PPR MALE  20/25 X 3/4</t>
  </si>
  <si>
    <t>RACCORD UNION PPR MALE 16/20 X 1/2</t>
  </si>
  <si>
    <t>RACCORD UNION PPR MALE 32</t>
  </si>
  <si>
    <t>RACCORD UNION PPR FEMELLE 32X1</t>
  </si>
  <si>
    <t xml:space="preserve">REDUCTION PPR 25 </t>
  </si>
  <si>
    <t>REDUCTION PPR 16/20</t>
  </si>
  <si>
    <t>REDUCTION PPR 32/20</t>
  </si>
  <si>
    <t>VANNE PPR 16/20</t>
  </si>
  <si>
    <t>COUDE FILETE FEMELLE 16/20 X 1/2 PPR</t>
  </si>
  <si>
    <t>COUDE FILETE FEMELLE 20/25 X 3/4 PPR</t>
  </si>
  <si>
    <t>RACCORD MIX LAITON MALE FEMMELE 15/21</t>
  </si>
  <si>
    <t>MAMELON LAITON MALE MALE 25</t>
  </si>
  <si>
    <t>REDUCTION LAITON MALE 25/15</t>
  </si>
  <si>
    <t>MANCHON LAITON 15/21</t>
  </si>
  <si>
    <t>COUDE PEX 16/20</t>
  </si>
  <si>
    <t>TE  PEX 16/20</t>
  </si>
  <si>
    <t>ROULEAU TEFLON GM</t>
  </si>
  <si>
    <t>POUPE FILASSE</t>
  </si>
  <si>
    <t>COUDE PRESSION FILETE N16/20  X 1/2</t>
  </si>
  <si>
    <t>COUDE PRESSION N20/25</t>
  </si>
  <si>
    <t>COUDE PRESSION N16/20</t>
  </si>
  <si>
    <t>COUDE PRESSION FFILETE N25B X 3/4</t>
  </si>
  <si>
    <t>SIPHON ACCORDÉON N32</t>
  </si>
  <si>
    <t>SIPHON ACCORDÉON N40</t>
  </si>
  <si>
    <t>SIPHON POUSSOIR 10/10</t>
  </si>
  <si>
    <t>SIPHON POUSSOIR 15/15</t>
  </si>
  <si>
    <t xml:space="preserve">FIXATION DE MIRROIR PAQUET PATTE A GLACE </t>
  </si>
  <si>
    <t>Paquet</t>
  </si>
  <si>
    <t>PORTE SAVON ALU</t>
  </si>
  <si>
    <t>PORTE PAPIER ALU</t>
  </si>
  <si>
    <t>PORTE SERVIETTE ALU 2 BRAS</t>
  </si>
  <si>
    <t xml:space="preserve">TABLETTE ALU </t>
  </si>
  <si>
    <t>ROBINET PUISAGE A BOISSEAU 15/21</t>
  </si>
  <si>
    <t>ROBINET PUISAGE 20/25</t>
  </si>
  <si>
    <t>VANNE ARRET ABOISSEAU 15/21</t>
  </si>
  <si>
    <t>VANNE ARRET ABOISSEAU 20/25</t>
  </si>
  <si>
    <t>VANNE ARRET ABOISSEAU 32</t>
  </si>
  <si>
    <t>TUYAUX PPR 16/20</t>
  </si>
  <si>
    <t>TUYAUX PPR 20/25</t>
  </si>
  <si>
    <t>TUYAUX PPR 32</t>
  </si>
  <si>
    <t>COUDE PPR 1/4 X N16/20</t>
  </si>
  <si>
    <t>COUDE PPR 1/4 X N20/25</t>
  </si>
  <si>
    <t>TE PPR N16/20</t>
  </si>
  <si>
    <t>TE PPR N20/25</t>
  </si>
  <si>
    <t>MANCHON PPR N16/20</t>
  </si>
  <si>
    <t>MANCHON PPR N32</t>
  </si>
  <si>
    <t>EMBOUT PPR MALE 16/20  X 1/2</t>
  </si>
  <si>
    <t>EMBOUT PPR MALE 20/25  X 3/4</t>
  </si>
  <si>
    <t>EMBOUT PPR MALE 32X1</t>
  </si>
  <si>
    <t>BOIS DE PELLE</t>
  </si>
  <si>
    <t>BOIS DE RATEAU</t>
  </si>
  <si>
    <t>INTERRUPTEUR DVV ANNEAU DORE 2001/20G</t>
  </si>
  <si>
    <t>CROISILLON DE CARREAUX 100  PCS N2</t>
  </si>
  <si>
    <t>CROISILLON DE CARREAUX 100  PCS N2.5</t>
  </si>
  <si>
    <t>BOITE ETACNHE RONDE 65</t>
  </si>
  <si>
    <t>SOMA KIMYA</t>
  </si>
  <si>
    <t xml:space="preserve">SILICONE TRANSPARENT UNIVERSEL 280ML SE280 </t>
  </si>
  <si>
    <t xml:space="preserve">SILICONE NOIR UNIVERSEL 280ML SE280 </t>
  </si>
  <si>
    <t>SILICONE BLANC UNIVERSEL 280ML SE281</t>
  </si>
  <si>
    <t>BOITE ETANCHE 80X80</t>
  </si>
  <si>
    <t>BOITE ETANCHE 100X100</t>
  </si>
  <si>
    <t>BOITE ETANCHE 150X100</t>
  </si>
  <si>
    <t>BOITE ETANCHE 180</t>
  </si>
  <si>
    <t>BOITE ETANCHE 240X180</t>
  </si>
  <si>
    <t>BURIN POINTU PETIT 250</t>
  </si>
  <si>
    <t>BURIN POINTU GRAND</t>
  </si>
  <si>
    <t>BURINT PLAT GRAND</t>
  </si>
  <si>
    <t>BURINT PLAT PLAT</t>
  </si>
  <si>
    <t>TENAILLE 9  228MM EPLRE0921</t>
  </si>
  <si>
    <t>TENAILLE 7  180MM EPLRE0721</t>
  </si>
  <si>
    <t>CISEAU DE TOLLE 300MM 12 EASP1271</t>
  </si>
  <si>
    <t>TOUNEVIS AMERICAIN 75MM ESDPH0075</t>
  </si>
  <si>
    <t>INTERRUPTEUR DVV LOTUS</t>
  </si>
  <si>
    <t>INTERRUPTEUR SVV LOTUS</t>
  </si>
  <si>
    <t>PRISE BLANC</t>
  </si>
  <si>
    <t xml:space="preserve">PRISE TV GRIS </t>
  </si>
  <si>
    <t>INTERRUPTEUR SVV MARRON</t>
  </si>
  <si>
    <t>INTERRUPTEUR DVV MARRON</t>
  </si>
  <si>
    <t>PRISE MARRON</t>
  </si>
  <si>
    <t>PRISE TV ENCASTREE ANNEAU DORE 2037G</t>
  </si>
  <si>
    <t>INTERRUPTEUR SVV ANNEAU DORE 2001/20G</t>
  </si>
  <si>
    <t>DISMATOQUE ANNEAU DORE 2026</t>
  </si>
  <si>
    <t>BOUTON POUSSOIRE ENCASTRE ANNEAU DORE 2060/00G</t>
  </si>
  <si>
    <t>DOMINOS 10 A</t>
  </si>
  <si>
    <t>DOMINOS 25A</t>
  </si>
  <si>
    <t>DPN 10A</t>
  </si>
  <si>
    <t>DPN 16A</t>
  </si>
  <si>
    <t>DOMINOS 40A</t>
  </si>
  <si>
    <t>DOMINOS 16A</t>
  </si>
  <si>
    <t>DPN 20A</t>
  </si>
  <si>
    <t>INGELEC</t>
  </si>
  <si>
    <t>SONNERIE 2 TONS</t>
  </si>
  <si>
    <t>ACIDE MURIATIQUE 0.90L</t>
  </si>
  <si>
    <t>BALAIS ARAIGNEE</t>
  </si>
  <si>
    <t>BROSSE A MANCHE</t>
  </si>
  <si>
    <t>SCOTCH PAPIER GRAND</t>
  </si>
  <si>
    <t>ISQLOI</t>
  </si>
  <si>
    <t>SPRAY AUTRES COULEURS (B5, OR3,N9,Oran3,R4)</t>
  </si>
  <si>
    <t>SPRAY GRIS</t>
  </si>
  <si>
    <t>unité</t>
  </si>
  <si>
    <t>CLEF DE ROBINET LAITON 63953</t>
  </si>
  <si>
    <t>ROBINET A CLEF 15/21 NEW B</t>
  </si>
  <si>
    <t>VERNIS A EAU  4L</t>
  </si>
  <si>
    <t>RUBAN ADHESIF ARMAFLEX NOIR 43</t>
  </si>
  <si>
    <t xml:space="preserve">INTERRUPTEUR SVV ETANCHE ENCASTRE </t>
  </si>
  <si>
    <t xml:space="preserve">PRISE ETANCHE APPARENTE </t>
  </si>
  <si>
    <t>PRISE ETANCHE ENCASTRE</t>
  </si>
  <si>
    <t>BOUTON POUSSOIR GRIS ETANCHE ENCASTRE</t>
  </si>
  <si>
    <t xml:space="preserve">BOUTON POUSSOIR </t>
  </si>
  <si>
    <t>PLAQUE VIERGE</t>
  </si>
  <si>
    <t>SCHNEIDER</t>
  </si>
  <si>
    <t>DPN 10A EASY9 EZ</t>
  </si>
  <si>
    <t>DPN 16A EASY9 EZ</t>
  </si>
  <si>
    <t>DPN 20A EASY9 EZ</t>
  </si>
  <si>
    <t>DPN 25A EASY9 EZ</t>
  </si>
  <si>
    <t>DPN 1ER CHOIX 25A</t>
  </si>
  <si>
    <t>DPN 1ER CHOIX 32A</t>
  </si>
  <si>
    <t>DPN 1ER CHOIX 16A</t>
  </si>
  <si>
    <t>INTERRUPTEUR DIFFERENTIEL 63A/2P EZ9R32263</t>
  </si>
  <si>
    <t xml:space="preserve">INTERRUPTEUR DIFFERENTIEL 25A /2P EZ9R62225 </t>
  </si>
  <si>
    <t>ATTACHE N8</t>
  </si>
  <si>
    <t>ATTACHE N10</t>
  </si>
  <si>
    <t>PEINGE DE RACCORDEMENT</t>
  </si>
  <si>
    <t>BATTERIE DE TERRE</t>
  </si>
  <si>
    <t>DOUILLE 01 E27 &amp; B22</t>
  </si>
  <si>
    <t>DOUILLE PLAFONNIER E27//B22</t>
  </si>
  <si>
    <t>GLOBE ETANCHE EN VERRE B22</t>
  </si>
  <si>
    <t>GLOBE ETANCHE EN PLASTIQUE</t>
  </si>
  <si>
    <t>AMPOULE LED 9W B22 6500K</t>
  </si>
  <si>
    <t>AMPOULE LED 12W B22 6500K</t>
  </si>
  <si>
    <t>CHEVILLE+VIS N8 0109 50 PC</t>
  </si>
  <si>
    <t>COFFRETS 2 MODULES ENCASTRE</t>
  </si>
  <si>
    <t>COFFRETS 4 MODULES ENCASTRE</t>
  </si>
  <si>
    <t>COFFRETS 6 MODULES ENCASTRE</t>
  </si>
  <si>
    <t>COFFRETS 12 MODULES ENCASTRE</t>
  </si>
  <si>
    <t>COFFRETS 24 MODULES ENCASTRE</t>
  </si>
  <si>
    <t>COFFRETS 36 MODULES ENCASTRE</t>
  </si>
  <si>
    <t>SPOT LED 3W SP03W PROJRCTEUR 3000K</t>
  </si>
  <si>
    <t>SPOT LED 4W 6500K</t>
  </si>
  <si>
    <t>SPOT LED 6W 6500K</t>
  </si>
  <si>
    <t>SPOT LED 12W 6500K</t>
  </si>
  <si>
    <t>SPOT LED 18W 6500K</t>
  </si>
  <si>
    <t>SPOT LED 20W 6500K</t>
  </si>
  <si>
    <t>SPOT LED 30W 6500K</t>
  </si>
  <si>
    <t xml:space="preserve">SPOT LED  6W APPARENT </t>
  </si>
  <si>
    <t>SPOT LED 12 W APPARENT</t>
  </si>
  <si>
    <t xml:space="preserve">SPOT LED 24W APPARENT </t>
  </si>
  <si>
    <t>REGLETTE 1.2M 18W + AMPOULE 6500K</t>
  </si>
  <si>
    <t>REGLETTE 0.60M 9W + AMPOULE 6500K</t>
  </si>
  <si>
    <t>REGLETTE ETANCHE LED O.6M T8</t>
  </si>
  <si>
    <t xml:space="preserve">ONLECT </t>
  </si>
  <si>
    <t>FICHE MALE+T 210B</t>
  </si>
  <si>
    <t>FICHE FEMELLE +T 210B</t>
  </si>
  <si>
    <t>GLOBE LUNE 2003-303</t>
  </si>
  <si>
    <t>GLOBE DEMI-LUNE 2003</t>
  </si>
  <si>
    <t>RALLONGE 3T UNIVER</t>
  </si>
  <si>
    <t>RALLONGE 4T UNIVER</t>
  </si>
  <si>
    <t>RALLONGE 5T UNIVER</t>
  </si>
  <si>
    <t>MAGALEC</t>
  </si>
  <si>
    <t>APPLIQUE DOUCHE 9595/7542 SANS AMOULE</t>
  </si>
  <si>
    <t>SONNERIE M205</t>
  </si>
  <si>
    <t>BOUTON POUSSOIR ENCASTRE GRIS</t>
  </si>
  <si>
    <t>TUYAUX PRESSION 32 6M PN10</t>
  </si>
  <si>
    <t>CHAMPION 1KG NOIR</t>
  </si>
  <si>
    <t>BoÎte</t>
  </si>
  <si>
    <t>CHAMPION 1KG GRIS</t>
  </si>
  <si>
    <t>VERNIS MAT 4L</t>
  </si>
  <si>
    <t>VERNIS MARIN 4KG</t>
  </si>
  <si>
    <t xml:space="preserve">DEBOUCHE EVIER </t>
  </si>
  <si>
    <t>INDUSCOLOR</t>
  </si>
  <si>
    <t>BELIER</t>
  </si>
  <si>
    <t>CIMENT BLANC</t>
  </si>
  <si>
    <t xml:space="preserve">BITUME 20KG </t>
  </si>
  <si>
    <t>AFLIKOTE</t>
  </si>
  <si>
    <t>BITUME 5KG</t>
  </si>
  <si>
    <t>BITUME 15KG</t>
  </si>
  <si>
    <t>DURALU</t>
  </si>
  <si>
    <t>VERNIS B</t>
  </si>
  <si>
    <t>TRAPALUMIN 40</t>
  </si>
  <si>
    <t>CHAPE 40 DURALU</t>
  </si>
  <si>
    <t>FILASSE 56 KG</t>
  </si>
  <si>
    <t>SIKALATEX 5L 1ER CE</t>
  </si>
  <si>
    <t>SIKALATEX 20L  CE</t>
  </si>
  <si>
    <t>SIKALIETE 25KG DE 1 KG LE SACHET</t>
  </si>
  <si>
    <t>SIKA CERAM 510 JOIN</t>
  </si>
  <si>
    <t>COUDE PVC 1/8 125 EVAC</t>
  </si>
  <si>
    <t>COUDE PVC 1/8 32 EVAC</t>
  </si>
  <si>
    <t>COUDE PVC 1/8 40 EVAC</t>
  </si>
  <si>
    <t>COUDE PCV 1/8 75 EVAC</t>
  </si>
  <si>
    <t>COUDE PVC 1/8 100 EVAC</t>
  </si>
  <si>
    <t>COUDE PVC 1/8 110 EVAC</t>
  </si>
  <si>
    <t>COUDE PVC 1/8 160 EVAC</t>
  </si>
  <si>
    <t>TES CULOTTE 75 EVAC</t>
  </si>
  <si>
    <t>TES CULOTTE 100 EVAC</t>
  </si>
  <si>
    <t xml:space="preserve">TES CULOTTE 110 EVAC </t>
  </si>
  <si>
    <t>TES CULOTTE 125 EVAC</t>
  </si>
  <si>
    <t>TES PVC 75 EVAC</t>
  </si>
  <si>
    <t>TES PVC 100 EVAC</t>
  </si>
  <si>
    <t xml:space="preserve">TES PVC 110 EVAC </t>
  </si>
  <si>
    <t>TES PVC 125 EVAC</t>
  </si>
  <si>
    <t>REDUCTION  75/32 PVC</t>
  </si>
  <si>
    <t>REDUCTION 75/40 PVC</t>
  </si>
  <si>
    <t>REDUCTION 100/32 PBC</t>
  </si>
  <si>
    <t>REDUCTION 100/40 PVC</t>
  </si>
  <si>
    <t>REDUCTION 100/75 PVC</t>
  </si>
  <si>
    <t>REDUCTION 110/32 PVC</t>
  </si>
  <si>
    <t>REDUCTION 110/40 PVC</t>
  </si>
  <si>
    <t>REDUCTION 110/75 PVC</t>
  </si>
  <si>
    <t>REDUCTION 110/100 PVC</t>
  </si>
  <si>
    <t>REDUCTION 125/110 PVC</t>
  </si>
  <si>
    <t>REDUCTION TAMPON 125/75 PVC</t>
  </si>
  <si>
    <t>REDUCTION 125/100 PVC</t>
  </si>
  <si>
    <t>REDUCTION 160/110 PVC</t>
  </si>
  <si>
    <t>SIPHON DE SOL 10/10 PVC</t>
  </si>
  <si>
    <t>SIPHON DE SOL 15/15 PVC</t>
  </si>
  <si>
    <t>SIPHON DE SOL 20/20 PVC</t>
  </si>
  <si>
    <t>GOUTTIERE PVC 4M</t>
  </si>
  <si>
    <t>COLLIER DE GOUTTIERE PVC</t>
  </si>
  <si>
    <t>COLLIER DE GOUTIER EN FER 60719</t>
  </si>
  <si>
    <t>JONCTION DE GOUTTIERE PVC</t>
  </si>
  <si>
    <t>BOUCHON DE GOUTTIERE PVC</t>
  </si>
  <si>
    <t>GAINE ANNELE 32 50M GRIS</t>
  </si>
  <si>
    <t>DESCENTE DE GOUTTIERE PVC</t>
  </si>
  <si>
    <t>COLLE TANGIT 1KG PV 1L</t>
  </si>
  <si>
    <t>COLLE TANGIT TUBE 125G</t>
  </si>
  <si>
    <t>COLLE A BOIS 1KG</t>
  </si>
  <si>
    <t>COLLE A BOIS 5KG</t>
  </si>
  <si>
    <t>SAVON NOIR</t>
  </si>
  <si>
    <t>ANTIROUILLE GRIS 4KG</t>
  </si>
  <si>
    <t>ANTIROUILLE ROUGE 4KG</t>
  </si>
  <si>
    <t xml:space="preserve">SAVON NOIR </t>
  </si>
  <si>
    <t>VERNIS 4KG</t>
  </si>
  <si>
    <t>CAROCOL BLANC 25KG</t>
  </si>
  <si>
    <t>EXTRACOL</t>
  </si>
  <si>
    <t>STARCOL</t>
  </si>
  <si>
    <t>SIPPEC/FORCE</t>
  </si>
  <si>
    <t>PLATRE IVOIRE</t>
  </si>
  <si>
    <t>BALANCE A MLAIN 200KG</t>
  </si>
  <si>
    <t>DECAMETTRE 30M</t>
  </si>
  <si>
    <t>DECAMETTRE 50M</t>
  </si>
  <si>
    <t>DECAMETTRE 100M</t>
  </si>
  <si>
    <t>SEAU MACON</t>
  </si>
  <si>
    <t>TOTAL / VALEUR GLOBALE</t>
  </si>
  <si>
    <t>ART</t>
  </si>
  <si>
    <t xml:space="preserve">equerre </t>
  </si>
  <si>
    <t xml:space="preserve">platre </t>
  </si>
  <si>
    <t xml:space="preserve">Tourne vis </t>
  </si>
  <si>
    <t>Petit pinceau(dessin)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</si>
</sst>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FCFA&quot;"/>
    <numFmt numFmtId="165" formatCode="0.0%"/>
    <numFmt numFmtId="166" formatCode="yyyy\-mm\-dd;@"/>
  </numFmts>
  <fonts count="10" x14ac:knownFonts="1">
    <font>
      <sz val="11"/>
      <color theme="1"/>
      <name val="Calibri"/>
      <family val="2"/>
      <scheme val="minor"/>
    </font>
    <font>
      <b/>
      <sz val="16"/>
      <color rgb="FF0F172A"/>
      <name val="Segoe UI"/>
    </font>
    <font>
      <i/>
      <sz val="10"/>
      <color rgb="FF64748B"/>
      <name val="Segoe UI"/>
    </font>
    <font>
      <b/>
      <sz val="9"/>
      <color rgb="FF475569"/>
      <name val="Segoe UI"/>
    </font>
    <font>
      <b/>
      <sz val="14"/>
      <color rgb="FF0F172A"/>
      <name val="Segoe UI"/>
    </font>
    <font>
      <b/>
      <sz val="12"/>
      <color rgb="FF1E293B"/>
      <name val="Segoe UI"/>
    </font>
    <font>
      <b/>
      <sz val="11"/>
      <color rgb="FFFFFFFF"/>
      <name val="Segoe UI"/>
    </font>
    <font>
      <sz val="10"/>
      <color rgb="FF0F172A"/>
      <name val="Segoe UI"/>
    </font>
    <font>
      <b/>
      <sz val="10"/>
      <color rgb="FF0F172A"/>
      <name val="Segoe U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334155"/>
        <bgColor rgb="FF334155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1E293B"/>
        <bgColor rgb="FF1E293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AFC"/>
      </patternFill>
    </fill>
    <fill>
      <patternFill patternType="solid">
        <fgColor rgb="FFFFFF00"/>
        <bgColor rgb="FFFFFFFF"/>
      </patternFill>
    </fill>
  </fills>
  <borders count="8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>
        <color rgb="FF1E293B"/>
      </top>
      <bottom style="double">
        <color rgb="FF1E293B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3" fontId="7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3" fontId="8" fillId="0" borderId="2" xfId="0" applyNumberFormat="1" applyFont="1" applyBorder="1"/>
    <xf numFmtId="164" fontId="8" fillId="0" borderId="2" xfId="0" applyNumberFormat="1" applyFont="1" applyBorder="1"/>
    <xf numFmtId="0" fontId="6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8" fillId="0" borderId="2" xfId="0" applyFont="1" applyBorder="1"/>
    <xf numFmtId="14" fontId="7" fillId="4" borderId="1" xfId="0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right" vertical="center"/>
    </xf>
    <xf numFmtId="3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165" fontId="7" fillId="4" borderId="3" xfId="0" applyNumberFormat="1" applyFont="1" applyFill="1" applyBorder="1" applyAlignment="1">
      <alignment horizontal="right" vertical="center"/>
    </xf>
    <xf numFmtId="164" fontId="7" fillId="4" borderId="5" xfId="0" applyNumberFormat="1" applyFont="1" applyFill="1" applyBorder="1" applyAlignment="1">
      <alignment horizontal="right" vertical="center"/>
    </xf>
    <xf numFmtId="164" fontId="7" fillId="4" borderId="4" xfId="0" applyNumberFormat="1" applyFont="1" applyFill="1" applyBorder="1" applyAlignment="1">
      <alignment horizontal="right" vertical="center"/>
    </xf>
    <xf numFmtId="164" fontId="7" fillId="4" borderId="0" xfId="0" applyNumberFormat="1" applyFont="1" applyFill="1" applyAlignment="1">
      <alignment horizontal="right" vertical="center"/>
    </xf>
    <xf numFmtId="0" fontId="7" fillId="5" borderId="5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center" vertical="center"/>
    </xf>
    <xf numFmtId="164" fontId="7" fillId="4" borderId="5" xfId="0" quotePrefix="1" applyNumberFormat="1" applyFont="1" applyFill="1" applyBorder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right" vertical="center"/>
    </xf>
    <xf numFmtId="0" fontId="7" fillId="4" borderId="0" xfId="0" applyFont="1" applyFill="1" applyAlignment="1">
      <alignment vertical="center"/>
    </xf>
    <xf numFmtId="0" fontId="0" fillId="7" borderId="0" xfId="0" applyFill="1"/>
    <xf numFmtId="0" fontId="7" fillId="8" borderId="0" xfId="0" applyFont="1" applyFill="1" applyAlignment="1">
      <alignment horizontal="left" vertical="center"/>
    </xf>
    <xf numFmtId="165" fontId="7" fillId="8" borderId="3" xfId="0" applyNumberFormat="1" applyFont="1" applyFill="1" applyBorder="1" applyAlignment="1">
      <alignment horizontal="right" vertical="center"/>
    </xf>
    <xf numFmtId="164" fontId="7" fillId="8" borderId="3" xfId="0" applyNumberFormat="1" applyFont="1" applyFill="1" applyBorder="1" applyAlignment="1">
      <alignment horizontal="right" vertical="center"/>
    </xf>
    <xf numFmtId="165" fontId="7" fillId="0" borderId="3" xfId="0" applyNumberFormat="1" applyFont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/>
    </xf>
    <xf numFmtId="164" fontId="7" fillId="8" borderId="0" xfId="0" applyNumberFormat="1" applyFont="1" applyFill="1" applyAlignment="1">
      <alignment horizontal="right" vertical="center"/>
    </xf>
    <xf numFmtId="165" fontId="7" fillId="7" borderId="3" xfId="0" applyNumberFormat="1" applyFont="1" applyFill="1" applyBorder="1" applyAlignment="1">
      <alignment horizontal="right" vertical="center"/>
    </xf>
    <xf numFmtId="0" fontId="6" fillId="6" borderId="6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left"/>
    </xf>
    <xf numFmtId="166" fontId="6" fillId="6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0" fillId="0" borderId="7" xfId="0" applyBorder="1"/>
    <xf numFmtId="3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sz val="10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rgb="FF0F172A"/>
        <name val="Segoe UI"/>
      </font>
      <numFmt numFmtId="164" formatCode="#,##0&quot; FCFA&quot;"/>
      <fill>
        <patternFill patternType="solid">
          <fgColor rgb="FFF8FAFC"/>
          <bgColor rgb="FFF8FAFC"/>
        </patternFill>
      </fill>
      <alignment horizontal="righ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F172A"/>
        <name val="Segoe UI"/>
      </font>
      <fill>
        <patternFill patternType="solid">
          <fgColor rgb="FFF8FAFC"/>
          <bgColor rgb="FFF8FAFC"/>
        </patternFill>
      </fill>
      <alignment horizontal="center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F172A"/>
        <name val="Segoe UI"/>
      </font>
      <numFmt numFmtId="3" formatCode="#,##0"/>
      <fill>
        <patternFill patternType="solid">
          <fgColor rgb="FFF8FAFC"/>
          <bgColor rgb="FFF8FAFC"/>
        </patternFill>
      </fill>
      <alignment horizontal="center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F172A"/>
        <name val="Segoe UI"/>
      </font>
      <numFmt numFmtId="3" formatCode="#,##0"/>
      <fill>
        <patternFill patternType="solid">
          <fgColor rgb="FFF8FAFC"/>
          <bgColor rgb="FFF8FAFC"/>
        </patternFill>
      </fill>
      <alignment horizontal="center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F172A"/>
        <name val="Segoe UI"/>
      </font>
      <numFmt numFmtId="164" formatCode="#,##0&quot; FCFA&quot;"/>
      <fill>
        <patternFill patternType="solid">
          <fgColor rgb="FFF8FAFC"/>
          <bgColor rgb="FFF8FAFC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0F172A"/>
        <name val="Segoe UI"/>
      </font>
      <numFmt numFmtId="165" formatCode="0.0%"/>
      <alignment horizontal="right" vertical="center"/>
      <border>
        <left style="thin">
          <color rgb="FFE2E8F0"/>
        </left>
        <right style="thin">
          <color rgb="FFE2E8F0"/>
        </right>
        <top/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F172A"/>
        <name val="Segoe UI"/>
      </font>
      <numFmt numFmtId="164" formatCode="#,##0&quot; FCFA&quot;"/>
      <fill>
        <patternFill patternType="solid">
          <fgColor rgb="FFF8FAFC"/>
          <bgColor rgb="FFF8FAFC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0F172A"/>
        <name val="Segoe UI"/>
      </font>
      <numFmt numFmtId="164" formatCode="#,##0&quot; FCFA&quot;"/>
      <fill>
        <patternFill patternType="solid">
          <fgColor rgb="FFF8FAFC"/>
          <bgColor rgb="FFF8FAFC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0F172A"/>
        <name val="Segoe UI"/>
      </font>
      <fill>
        <patternFill patternType="solid">
          <fgColor rgb="FFF8FAFC"/>
          <bgColor rgb="FFF8FAFC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0F172A"/>
        <name val="Segoe UI"/>
      </font>
      <fill>
        <patternFill patternType="solid">
          <fgColor rgb="FFF8FAFC"/>
          <bgColor rgb="FFF8FAFC"/>
        </patternFill>
      </fill>
      <alignment horizontal="left" vertical="center"/>
    </dxf>
    <dxf>
      <border outline="0">
        <top style="thin">
          <color rgb="FFE2E8F0"/>
        </top>
      </border>
    </dxf>
    <dxf>
      <border outline="0">
        <bottom style="thin">
          <color rgb="FFE2E8F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Segoe UI"/>
      </font>
      <fill>
        <patternFill patternType="solid">
          <fgColor rgb="FF1E293B"/>
          <bgColor rgb="FF1E293B"/>
        </patternFill>
      </fill>
      <alignment horizontal="center" vertical="center" wrapText="1"/>
      <border outline="0">
        <left style="thin">
          <color rgb="FFE2E8F0"/>
        </left>
        <right style="thin">
          <color rgb="FFE2E8F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4:Q557" totalsRowShown="0" headerRowDxfId="13" headerRowBorderDxfId="12" tableBorderDxfId="11">
  <autoFilter ref="A4:Q557" xr:uid="{00000000-0009-0000-0100-000001000000}"/>
  <tableColumns count="17">
    <tableColumn id="1" xr3:uid="{00000000-0010-0000-0000-000001000000}" name="Marque"/>
    <tableColumn id="2" xr3:uid="{00000000-0010-0000-0000-000002000000}" name="Désignation" dataDxfId="10"/>
    <tableColumn id="3" xr3:uid="{00000000-0010-0000-0000-000003000000}" name="Catégorie" dataDxfId="9"/>
    <tableColumn id="4" xr3:uid="{00000000-0010-0000-0000-000004000000}" name="Unité"/>
    <tableColumn id="5" xr3:uid="{00000000-0010-0000-0000-000005000000}" name="Prix au  Mètre/Kg"/>
    <tableColumn id="6" xr3:uid="{00000000-0010-0000-0000-000006000000}" name="Prix Achat (FCFA)" dataDxfId="8"/>
    <tableColumn id="7" xr3:uid="{00000000-0010-0000-0000-000007000000}" name="Prix Vente (FCFA)" dataDxfId="7"/>
    <tableColumn id="8" xr3:uid="{00000000-0010-0000-0000-000008000000}" name="Marge (%)" dataDxfId="6"/>
    <tableColumn id="9" xr3:uid="{00000000-0010-0000-0000-000009000000}" name="Stock Initial"/>
    <tableColumn id="10" xr3:uid="{00000000-0010-0000-0000-00000A000000}" name="Seuil mini de vente" dataDxfId="5"/>
    <tableColumn id="11" xr3:uid="{00000000-0010-0000-0000-00000B000000}" name="Seuil mini de vente au metre/Kg"/>
    <tableColumn id="12" xr3:uid="{00000000-0010-0000-0000-00000C000000}" name="Entrées" dataDxfId="4"/>
    <tableColumn id="13" xr3:uid="{00000000-0010-0000-0000-00000D000000}" name="Sorties" dataDxfId="3"/>
    <tableColumn id="14" xr3:uid="{00000000-0010-0000-0000-00000E000000}" name="Stock Actuel"/>
    <tableColumn id="15" xr3:uid="{00000000-0010-0000-0000-00000F000000}" name="Seuil Alerte"/>
    <tableColumn id="16" xr3:uid="{00000000-0010-0000-0000-000010000000}" name="Statut Stock" dataDxfId="2"/>
    <tableColumn id="17" xr3:uid="{00000000-0010-0000-0000-000011000000}" name="Valeur Stock (FCFA)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zoomScale="140" zoomScaleNormal="140" workbookViewId="0">
      <selection activeCell="B14" sqref="B14"/>
    </sheetView>
  </sheetViews>
  <sheetFormatPr baseColWidth="10" defaultColWidth="8.85546875" defaultRowHeight="15" x14ac:dyDescent="0.25"/>
  <cols>
    <col min="1" max="1" width="12" customWidth="1"/>
    <col min="2" max="9" width="20" customWidth="1"/>
  </cols>
  <sheetData>
    <row r="2" spans="2:9" ht="23.1" customHeight="1" x14ac:dyDescent="0.5">
      <c r="B2" s="1" t="s">
        <v>40</v>
      </c>
    </row>
    <row r="3" spans="2:9" x14ac:dyDescent="0.25">
      <c r="B3" s="2" t="s">
        <v>41</v>
      </c>
    </row>
    <row r="5" spans="2:9" x14ac:dyDescent="0.25">
      <c r="B5" s="56" t="s">
        <v>42</v>
      </c>
      <c r="C5" s="54"/>
      <c r="D5" s="56" t="s">
        <v>43</v>
      </c>
      <c r="E5" s="54"/>
      <c r="F5" s="56" t="s">
        <v>44</v>
      </c>
      <c r="G5" s="54"/>
      <c r="H5" s="56" t="s">
        <v>45</v>
      </c>
      <c r="I5" s="54"/>
    </row>
    <row r="6" spans="2:9" ht="21" customHeight="1" x14ac:dyDescent="0.25">
      <c r="B6" s="53">
        <f>SUM(Mouvements!G5:G990)</f>
        <v>2639800</v>
      </c>
      <c r="C6" s="54"/>
      <c r="D6" s="53" t="e">
        <f t="array" aca="1" ref="D6" ca="1">SUMPRODUCT((Mouvements!B5:B990="Sortie")*(Mouvements!E5:E990)*(Mouvements!F5:F990-_xludf.XLOOKUP(Mouvements!C5:C990,Catalogue!A5:A1379,Catalogue!F5:F1375,0)))</f>
        <v>#NAME?</v>
      </c>
      <c r="E6" s="54"/>
      <c r="F6" s="53">
        <f t="array" ref="F6">SUMPRODUCT(Catalogue!N5:N1375*Catalogue!F5:F1375)</f>
        <v>4145012</v>
      </c>
      <c r="G6" s="54"/>
      <c r="H6" s="55">
        <f>COUNTIF(Catalogue!P5:P1375, "RÉAPPROVISIONNER")</f>
        <v>350</v>
      </c>
      <c r="I6" s="54"/>
    </row>
    <row r="9" spans="2:9" ht="15.95" customHeight="1" x14ac:dyDescent="0.3">
      <c r="B9" s="3" t="s">
        <v>46</v>
      </c>
    </row>
    <row r="10" spans="2:9" ht="15.95" customHeight="1" x14ac:dyDescent="0.25">
      <c r="B10" s="4" t="s">
        <v>5</v>
      </c>
      <c r="C10" s="4" t="s">
        <v>47</v>
      </c>
      <c r="D10" s="4" t="s">
        <v>48</v>
      </c>
      <c r="E10" s="4" t="s">
        <v>49</v>
      </c>
    </row>
    <row r="11" spans="2:9" x14ac:dyDescent="0.25">
      <c r="B11" s="5" t="s">
        <v>50</v>
      </c>
      <c r="C11" s="6">
        <f>COUNTIF(Catalogue!C$5:C$231, B11)</f>
        <v>10</v>
      </c>
      <c r="D11" s="7">
        <f t="array" ref="D11">SUMPRODUCT((Catalogue!C$5:C$231=B11)*(Catalogue!N$5:N$231)*(Catalogue!F$5:F$231))</f>
        <v>477654</v>
      </c>
      <c r="E11" s="7">
        <f>SUMIFS(Mouvements!G$5:G$990, Mouvements!D$5:D$990, B11, Mouvements!B$5:B$990, "Sortie")</f>
        <v>0</v>
      </c>
    </row>
    <row r="12" spans="2:9" x14ac:dyDescent="0.25">
      <c r="B12" s="8" t="s">
        <v>51</v>
      </c>
      <c r="C12" s="9">
        <f>COUNTIF(Catalogue!C$5:C$231, B12)</f>
        <v>11</v>
      </c>
      <c r="D12" s="10">
        <f t="array" ref="D12">SUMPRODUCT((Catalogue!C$5:C$231=B12)*(Catalogue!N$5:N$231)*(Catalogue!F$5:F$231))</f>
        <v>37250</v>
      </c>
      <c r="E12" s="10">
        <f>SUMIFS(Mouvements!G$5:G$990, Mouvements!D$5:D$990, B12, Mouvements!B$5:B$990, "Sortie")</f>
        <v>0</v>
      </c>
    </row>
    <row r="13" spans="2:9" x14ac:dyDescent="0.25">
      <c r="B13" s="5" t="s">
        <v>52</v>
      </c>
      <c r="C13" s="6">
        <f>COUNTIF(Catalogue!C$5:C$231, B13)</f>
        <v>78</v>
      </c>
      <c r="D13" s="7">
        <f t="array" ref="D13">SUMPRODUCT((Catalogue!C$5:C$231=B13)*(Catalogue!N$5:N$231)*(Catalogue!F$5:F$231))</f>
        <v>602050</v>
      </c>
      <c r="E13" s="7">
        <f>SUMIFS(Mouvements!G$5:G$990, Mouvements!D$5:D$990, B13, Mouvements!B$5:B$990, "Sortie")</f>
        <v>0</v>
      </c>
    </row>
    <row r="14" spans="2:9" x14ac:dyDescent="0.25">
      <c r="B14" s="8" t="s">
        <v>53</v>
      </c>
      <c r="C14" s="6">
        <f>COUNTIF(Catalogue!C$5:C$231, B14)</f>
        <v>29</v>
      </c>
      <c r="D14" s="10">
        <f t="array" ref="D14">SUMPRODUCT((Catalogue!C$5:C$231=B14)*(Catalogue!N$5:N$231)*(Catalogue!F$5:F$231))</f>
        <v>804500</v>
      </c>
      <c r="E14" s="10">
        <f>SUMIFS(Mouvements!G$5:G$990, Mouvements!D$5:D$990, B14, Mouvements!B$5:B$990, "Sortie")</f>
        <v>0</v>
      </c>
    </row>
    <row r="15" spans="2:9" x14ac:dyDescent="0.25">
      <c r="B15" s="5" t="s">
        <v>54</v>
      </c>
      <c r="C15" s="6">
        <f>COUNTIF(Catalogue!C$5:C$231, B15)</f>
        <v>99</v>
      </c>
      <c r="D15" s="7">
        <f t="array" ref="D15">SUMPRODUCT((Catalogue!C$5:C$231=B15)*(Catalogue!N$5:N$231)*(Catalogue!F$5:F$231))</f>
        <v>902358</v>
      </c>
      <c r="E15" s="7">
        <f>SUMIFS(Mouvements!G$5:G$990, Mouvements!D$5:D$990, B15, Mouvements!B$5:B$990, "Sortie")</f>
        <v>0</v>
      </c>
    </row>
    <row r="16" spans="2:9" x14ac:dyDescent="0.25">
      <c r="B16" s="11" t="s">
        <v>55</v>
      </c>
      <c r="C16" s="12">
        <f>SUM(C11:C15)</f>
        <v>227</v>
      </c>
      <c r="D16" s="13">
        <f>SUM(D11:D15)</f>
        <v>2823812</v>
      </c>
      <c r="E16" s="13">
        <f>SUM(E11:E15)</f>
        <v>0</v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614"/>
  <sheetViews>
    <sheetView zoomScale="114" zoomScaleNormal="120" workbookViewId="0">
      <pane xSplit="4" ySplit="12" topLeftCell="M45" activePane="bottomRight" state="frozen"/>
      <selection pane="topRight" activeCell="E1" sqref="E1"/>
      <selection pane="bottomLeft" activeCell="A13" sqref="A13"/>
      <selection pane="bottomRight" activeCell="N54" sqref="N54"/>
    </sheetView>
  </sheetViews>
  <sheetFormatPr baseColWidth="10" defaultColWidth="8.85546875" defaultRowHeight="15" x14ac:dyDescent="0.25"/>
  <cols>
    <col min="1" max="1" width="16" customWidth="1"/>
    <col min="2" max="2" width="46" customWidth="1"/>
    <col min="3" max="3" width="24" customWidth="1"/>
    <col min="4" max="4" width="12" customWidth="1"/>
    <col min="5" max="5" width="18" customWidth="1"/>
    <col min="6" max="7" width="21" customWidth="1"/>
    <col min="8" max="8" width="18" customWidth="1"/>
    <col min="9" max="9" width="17" customWidth="1"/>
    <col min="10" max="10" width="19.42578125" customWidth="1"/>
    <col min="11" max="11" width="30.7109375" customWidth="1"/>
    <col min="12" max="12" width="26.28515625" customWidth="1"/>
    <col min="13" max="13" width="95" customWidth="1"/>
    <col min="14" max="15" width="16" customWidth="1"/>
    <col min="16" max="16" width="43" customWidth="1"/>
    <col min="17" max="17" width="23" customWidth="1"/>
  </cols>
  <sheetData>
    <row r="2" spans="1:17" ht="23.1" customHeight="1" x14ac:dyDescent="0.5">
      <c r="A2" s="1" t="s">
        <v>56</v>
      </c>
    </row>
    <row r="3" spans="1:17" x14ac:dyDescent="0.25">
      <c r="A3" s="2" t="s">
        <v>57</v>
      </c>
    </row>
    <row r="4" spans="1:17" s="22" customFormat="1" ht="17.100000000000001" customHeight="1" x14ac:dyDescent="0.25">
      <c r="A4" s="50" t="s">
        <v>58</v>
      </c>
      <c r="B4" s="50" t="s">
        <v>10</v>
      </c>
      <c r="C4" s="50" t="s">
        <v>5</v>
      </c>
      <c r="D4" s="50" t="s">
        <v>59</v>
      </c>
      <c r="E4" s="50" t="s">
        <v>60</v>
      </c>
      <c r="F4" s="50" t="s">
        <v>61</v>
      </c>
      <c r="G4" s="50" t="s">
        <v>62</v>
      </c>
      <c r="H4" s="50" t="s">
        <v>63</v>
      </c>
      <c r="I4" s="50" t="s">
        <v>64</v>
      </c>
      <c r="J4" s="50" t="s">
        <v>65</v>
      </c>
      <c r="K4" s="50" t="s">
        <v>66</v>
      </c>
      <c r="L4" s="50" t="s">
        <v>67</v>
      </c>
      <c r="M4" s="50" t="s">
        <v>68</v>
      </c>
      <c r="N4" s="50" t="s">
        <v>69</v>
      </c>
      <c r="O4" s="50" t="s">
        <v>70</v>
      </c>
      <c r="P4" s="50" t="s">
        <v>71</v>
      </c>
      <c r="Q4" s="50" t="s">
        <v>72</v>
      </c>
    </row>
    <row r="5" spans="1:17" x14ac:dyDescent="0.25">
      <c r="A5" s="15" t="s">
        <v>73</v>
      </c>
      <c r="B5" s="5" t="s">
        <v>74</v>
      </c>
      <c r="C5" s="5" t="s">
        <v>50</v>
      </c>
      <c r="D5" s="15" t="s">
        <v>75</v>
      </c>
      <c r="E5" s="26"/>
      <c r="F5" s="7">
        <v>4500</v>
      </c>
      <c r="G5" s="7">
        <v>5000</v>
      </c>
      <c r="H5" s="16">
        <v>0.1111111111111111</v>
      </c>
      <c r="I5" s="6">
        <v>15</v>
      </c>
      <c r="J5" s="7">
        <v>5000</v>
      </c>
      <c r="K5" s="7"/>
      <c r="L5" s="6">
        <v>0</v>
      </c>
      <c r="M5" s="6">
        <v>0</v>
      </c>
      <c r="N5" s="6">
        <v>15</v>
      </c>
      <c r="O5" s="6">
        <v>20</v>
      </c>
      <c r="P5" s="15" t="s">
        <v>76</v>
      </c>
      <c r="Q5" s="7">
        <v>67500</v>
      </c>
    </row>
    <row r="6" spans="1:17" x14ac:dyDescent="0.25">
      <c r="A6" s="17" t="s">
        <v>77</v>
      </c>
      <c r="B6" s="8" t="s">
        <v>78</v>
      </c>
      <c r="C6" s="8" t="s">
        <v>51</v>
      </c>
      <c r="D6" s="17" t="s">
        <v>79</v>
      </c>
      <c r="E6" s="26"/>
      <c r="F6" s="10">
        <v>0</v>
      </c>
      <c r="G6" s="10">
        <v>0</v>
      </c>
      <c r="H6" s="18"/>
      <c r="I6" s="9">
        <v>0</v>
      </c>
      <c r="J6" s="7"/>
      <c r="K6" s="7"/>
      <c r="L6" s="6">
        <v>0</v>
      </c>
      <c r="M6" s="6">
        <v>0</v>
      </c>
      <c r="N6" s="6">
        <v>0</v>
      </c>
      <c r="O6" s="9">
        <v>50</v>
      </c>
      <c r="P6" s="17" t="s">
        <v>76</v>
      </c>
      <c r="Q6" s="10">
        <v>0</v>
      </c>
    </row>
    <row r="7" spans="1:17" x14ac:dyDescent="0.25">
      <c r="A7" s="15"/>
      <c r="B7" s="5" t="s">
        <v>80</v>
      </c>
      <c r="C7" s="5" t="s">
        <v>52</v>
      </c>
      <c r="D7" s="15" t="s">
        <v>79</v>
      </c>
      <c r="E7" s="26">
        <v>600</v>
      </c>
      <c r="F7" s="7">
        <v>1500</v>
      </c>
      <c r="G7" s="7">
        <v>3000</v>
      </c>
      <c r="H7" s="16">
        <v>1</v>
      </c>
      <c r="I7" s="6">
        <v>40</v>
      </c>
      <c r="J7" s="7">
        <v>2500</v>
      </c>
      <c r="K7" s="7"/>
      <c r="L7" s="6">
        <v>0</v>
      </c>
      <c r="M7" s="6">
        <v>0</v>
      </c>
      <c r="N7" s="6">
        <v>40</v>
      </c>
      <c r="O7" s="6">
        <v>10</v>
      </c>
      <c r="P7" s="15" t="s">
        <v>81</v>
      </c>
      <c r="Q7" s="7">
        <v>60000</v>
      </c>
    </row>
    <row r="8" spans="1:17" x14ac:dyDescent="0.25">
      <c r="A8" s="17" t="s">
        <v>82</v>
      </c>
      <c r="B8" s="8" t="s">
        <v>83</v>
      </c>
      <c r="C8" s="5" t="s">
        <v>54</v>
      </c>
      <c r="D8" s="17" t="s">
        <v>84</v>
      </c>
      <c r="E8" s="26"/>
      <c r="F8" s="7">
        <v>23500</v>
      </c>
      <c r="G8" s="10">
        <v>25000</v>
      </c>
      <c r="H8" s="18">
        <v>6.3829787234042548E-2</v>
      </c>
      <c r="I8" s="9">
        <v>6</v>
      </c>
      <c r="J8" s="7">
        <v>24000</v>
      </c>
      <c r="K8" s="7"/>
      <c r="L8" s="6">
        <v>0</v>
      </c>
      <c r="M8" s="6">
        <v>0</v>
      </c>
      <c r="N8" s="6">
        <v>6</v>
      </c>
      <c r="O8" s="9">
        <v>5</v>
      </c>
      <c r="P8" s="17" t="s">
        <v>81</v>
      </c>
      <c r="Q8" s="10">
        <v>141000</v>
      </c>
    </row>
    <row r="9" spans="1:17" x14ac:dyDescent="0.25">
      <c r="A9" s="17" t="s">
        <v>82</v>
      </c>
      <c r="B9" s="8" t="s">
        <v>85</v>
      </c>
      <c r="C9" s="5" t="s">
        <v>54</v>
      </c>
      <c r="D9" s="17" t="s">
        <v>84</v>
      </c>
      <c r="E9" s="26"/>
      <c r="F9" s="7">
        <v>21500</v>
      </c>
      <c r="G9" s="10">
        <v>23000</v>
      </c>
      <c r="H9" s="18">
        <v>6.9767441860465115E-2</v>
      </c>
      <c r="I9" s="9">
        <v>4</v>
      </c>
      <c r="J9" s="7">
        <v>22000</v>
      </c>
      <c r="K9" s="7"/>
      <c r="L9" s="6">
        <v>0</v>
      </c>
      <c r="M9" s="6">
        <v>0</v>
      </c>
      <c r="N9" s="6">
        <v>4</v>
      </c>
      <c r="O9" s="9"/>
      <c r="P9" s="15" t="s">
        <v>81</v>
      </c>
      <c r="Q9" s="7">
        <v>86000</v>
      </c>
    </row>
    <row r="10" spans="1:17" ht="23.1" customHeight="1" x14ac:dyDescent="0.25">
      <c r="A10" s="15" t="s">
        <v>86</v>
      </c>
      <c r="B10" s="5" t="s">
        <v>87</v>
      </c>
      <c r="C10" s="5" t="s">
        <v>53</v>
      </c>
      <c r="D10" s="15" t="s">
        <v>88</v>
      </c>
      <c r="E10" s="26">
        <v>600</v>
      </c>
      <c r="F10" s="7">
        <v>47500</v>
      </c>
      <c r="G10" s="7">
        <v>50000</v>
      </c>
      <c r="H10" s="16">
        <v>5.2631578947368418E-2</v>
      </c>
      <c r="I10" s="6">
        <v>1</v>
      </c>
      <c r="J10" s="7"/>
      <c r="K10" s="7">
        <v>500</v>
      </c>
      <c r="L10" s="6">
        <v>0</v>
      </c>
      <c r="M10" s="6">
        <v>0</v>
      </c>
      <c r="N10" s="6">
        <v>1</v>
      </c>
      <c r="O10" s="6">
        <v>8</v>
      </c>
      <c r="P10" s="15" t="s">
        <v>76</v>
      </c>
      <c r="Q10" s="7">
        <v>47500</v>
      </c>
    </row>
    <row r="11" spans="1:17" ht="23.1" customHeight="1" x14ac:dyDescent="0.25">
      <c r="A11" s="15" t="s">
        <v>89</v>
      </c>
      <c r="B11" s="5" t="s">
        <v>90</v>
      </c>
      <c r="C11" s="5" t="s">
        <v>52</v>
      </c>
      <c r="D11" s="15" t="s">
        <v>59</v>
      </c>
      <c r="E11" s="26"/>
      <c r="F11" s="7">
        <v>4000</v>
      </c>
      <c r="G11" s="7">
        <v>6000</v>
      </c>
      <c r="H11" s="16">
        <v>0.5</v>
      </c>
      <c r="I11" s="6">
        <v>1</v>
      </c>
      <c r="J11" s="7">
        <v>5000</v>
      </c>
      <c r="K11" s="7"/>
      <c r="L11" s="6">
        <v>0</v>
      </c>
      <c r="M11" s="6">
        <v>0</v>
      </c>
      <c r="N11" s="6">
        <v>1</v>
      </c>
      <c r="O11" s="6"/>
      <c r="P11" s="15" t="s">
        <v>81</v>
      </c>
      <c r="Q11" s="7"/>
    </row>
    <row r="12" spans="1:17" ht="23.1" customHeight="1" x14ac:dyDescent="0.25">
      <c r="A12" s="15" t="s">
        <v>91</v>
      </c>
      <c r="B12" s="5" t="s">
        <v>90</v>
      </c>
      <c r="C12" s="5" t="s">
        <v>52</v>
      </c>
      <c r="D12" s="15" t="s">
        <v>59</v>
      </c>
      <c r="E12" s="26"/>
      <c r="F12" s="7">
        <v>4000</v>
      </c>
      <c r="G12" s="7">
        <v>6000</v>
      </c>
      <c r="H12" s="16">
        <v>0.5</v>
      </c>
      <c r="I12" s="6">
        <v>2</v>
      </c>
      <c r="J12" s="7">
        <v>5000</v>
      </c>
      <c r="K12" s="7"/>
      <c r="L12" s="6">
        <v>0</v>
      </c>
      <c r="M12" s="6">
        <v>0</v>
      </c>
      <c r="N12" s="6">
        <v>2</v>
      </c>
      <c r="O12" s="6">
        <v>8</v>
      </c>
      <c r="P12" s="15" t="s">
        <v>76</v>
      </c>
      <c r="Q12" s="10">
        <v>8000</v>
      </c>
    </row>
    <row r="13" spans="1:17" ht="23.1" customHeight="1" x14ac:dyDescent="0.25">
      <c r="A13" s="15" t="s">
        <v>92</v>
      </c>
      <c r="B13" s="8" t="s">
        <v>93</v>
      </c>
      <c r="C13" s="5" t="s">
        <v>54</v>
      </c>
      <c r="D13" s="15" t="s">
        <v>84</v>
      </c>
      <c r="E13" s="26"/>
      <c r="F13" s="7">
        <v>2300</v>
      </c>
      <c r="G13" s="7">
        <v>3500</v>
      </c>
      <c r="H13" s="16">
        <v>0.52173913043478259</v>
      </c>
      <c r="I13" s="6">
        <v>4</v>
      </c>
      <c r="J13" s="7">
        <v>3000</v>
      </c>
      <c r="K13" s="7"/>
      <c r="L13" s="6">
        <v>0</v>
      </c>
      <c r="M13" s="6">
        <v>0</v>
      </c>
      <c r="N13" s="6">
        <v>4</v>
      </c>
      <c r="O13" s="6">
        <v>8</v>
      </c>
      <c r="P13" s="15" t="s">
        <v>76</v>
      </c>
      <c r="Q13" s="10">
        <v>9200</v>
      </c>
    </row>
    <row r="14" spans="1:17" ht="23.1" customHeight="1" x14ac:dyDescent="0.25">
      <c r="A14" s="15" t="s">
        <v>92</v>
      </c>
      <c r="B14" s="8" t="s">
        <v>94</v>
      </c>
      <c r="C14" s="5" t="s">
        <v>54</v>
      </c>
      <c r="D14" s="15" t="s">
        <v>84</v>
      </c>
      <c r="E14" s="26"/>
      <c r="F14" s="7">
        <v>7500</v>
      </c>
      <c r="G14" s="7">
        <v>8500</v>
      </c>
      <c r="H14" s="16">
        <v>0.1333333333333333</v>
      </c>
      <c r="I14" s="6">
        <v>3</v>
      </c>
      <c r="J14" s="7">
        <v>8000</v>
      </c>
      <c r="K14" s="7"/>
      <c r="L14" s="6">
        <v>0</v>
      </c>
      <c r="M14" s="6">
        <v>0</v>
      </c>
      <c r="N14" s="6">
        <v>3</v>
      </c>
      <c r="O14" s="6">
        <v>8</v>
      </c>
      <c r="P14" s="15" t="s">
        <v>76</v>
      </c>
      <c r="Q14" s="10">
        <v>22500</v>
      </c>
    </row>
    <row r="15" spans="1:17" ht="23.1" customHeight="1" x14ac:dyDescent="0.25">
      <c r="A15" s="15" t="s">
        <v>92</v>
      </c>
      <c r="B15" s="8" t="s">
        <v>95</v>
      </c>
      <c r="C15" s="5" t="s">
        <v>54</v>
      </c>
      <c r="D15" s="15" t="s">
        <v>84</v>
      </c>
      <c r="E15" s="26"/>
      <c r="F15" s="7">
        <v>14300</v>
      </c>
      <c r="G15" s="7">
        <v>16000</v>
      </c>
      <c r="H15" s="16">
        <v>0.11888111888111889</v>
      </c>
      <c r="I15" s="6">
        <v>4</v>
      </c>
      <c r="J15" s="7">
        <v>15000</v>
      </c>
      <c r="K15" s="7"/>
      <c r="L15" s="6">
        <v>0</v>
      </c>
      <c r="M15" s="6">
        <v>0</v>
      </c>
      <c r="N15" s="6">
        <v>4</v>
      </c>
      <c r="O15" s="6">
        <v>8</v>
      </c>
      <c r="P15" s="15" t="s">
        <v>76</v>
      </c>
      <c r="Q15" s="10">
        <v>57200</v>
      </c>
    </row>
    <row r="16" spans="1:17" ht="23.1" customHeight="1" x14ac:dyDescent="0.25">
      <c r="A16" s="15" t="s">
        <v>92</v>
      </c>
      <c r="B16" s="8" t="s">
        <v>96</v>
      </c>
      <c r="C16" s="5" t="s">
        <v>54</v>
      </c>
      <c r="D16" s="15" t="s">
        <v>84</v>
      </c>
      <c r="E16" s="26"/>
      <c r="F16" s="7">
        <v>2200</v>
      </c>
      <c r="G16" s="7">
        <v>3000</v>
      </c>
      <c r="H16" s="16">
        <v>0.36363636363636359</v>
      </c>
      <c r="I16" s="6">
        <v>6</v>
      </c>
      <c r="J16" s="7">
        <v>2700</v>
      </c>
      <c r="K16" s="7"/>
      <c r="L16" s="6">
        <v>0</v>
      </c>
      <c r="M16" s="6">
        <v>0</v>
      </c>
      <c r="N16" s="6">
        <v>6</v>
      </c>
      <c r="O16" s="6">
        <v>8</v>
      </c>
      <c r="P16" s="15" t="s">
        <v>76</v>
      </c>
      <c r="Q16" s="10">
        <v>13200</v>
      </c>
    </row>
    <row r="17" spans="1:17" ht="23.1" customHeight="1" x14ac:dyDescent="0.25">
      <c r="A17" s="15" t="s">
        <v>92</v>
      </c>
      <c r="B17" s="8" t="s">
        <v>97</v>
      </c>
      <c r="C17" s="5" t="s">
        <v>54</v>
      </c>
      <c r="D17" s="15" t="s">
        <v>84</v>
      </c>
      <c r="E17" s="26"/>
      <c r="F17" s="7">
        <v>6500</v>
      </c>
      <c r="G17" s="7">
        <v>8000</v>
      </c>
      <c r="H17" s="16">
        <v>0.23076923076923081</v>
      </c>
      <c r="I17" s="6">
        <v>4</v>
      </c>
      <c r="J17" s="7">
        <v>8000</v>
      </c>
      <c r="K17" s="7"/>
      <c r="L17" s="6">
        <v>0</v>
      </c>
      <c r="M17" s="6">
        <v>0</v>
      </c>
      <c r="N17" s="6">
        <v>4</v>
      </c>
      <c r="O17" s="6">
        <v>8</v>
      </c>
      <c r="P17" s="15" t="s">
        <v>76</v>
      </c>
      <c r="Q17" s="10">
        <v>26000</v>
      </c>
    </row>
    <row r="18" spans="1:17" ht="23.1" customHeight="1" x14ac:dyDescent="0.25">
      <c r="A18" s="15" t="s">
        <v>92</v>
      </c>
      <c r="B18" s="8" t="s">
        <v>98</v>
      </c>
      <c r="C18" s="5" t="s">
        <v>54</v>
      </c>
      <c r="D18" s="15" t="s">
        <v>84</v>
      </c>
      <c r="E18" s="26"/>
      <c r="F18" s="7">
        <v>12500</v>
      </c>
      <c r="G18" s="7">
        <v>14000</v>
      </c>
      <c r="H18" s="16">
        <v>0.12</v>
      </c>
      <c r="I18" s="6">
        <v>3</v>
      </c>
      <c r="J18" s="7">
        <v>13500</v>
      </c>
      <c r="K18" s="7"/>
      <c r="L18" s="6">
        <v>0</v>
      </c>
      <c r="M18" s="6">
        <v>0</v>
      </c>
      <c r="N18" s="6">
        <v>3</v>
      </c>
      <c r="O18" s="6">
        <v>8</v>
      </c>
      <c r="P18" s="15" t="s">
        <v>76</v>
      </c>
      <c r="Q18" s="10">
        <v>37500</v>
      </c>
    </row>
    <row r="19" spans="1:17" ht="23.1" customHeight="1" x14ac:dyDescent="0.25">
      <c r="A19" s="15" t="s">
        <v>99</v>
      </c>
      <c r="B19" s="5" t="s">
        <v>100</v>
      </c>
      <c r="C19" s="5" t="s">
        <v>54</v>
      </c>
      <c r="D19" s="15" t="s">
        <v>84</v>
      </c>
      <c r="E19" s="26"/>
      <c r="F19" s="7">
        <v>2300</v>
      </c>
      <c r="G19" s="7">
        <v>3500</v>
      </c>
      <c r="H19" s="16">
        <v>0.52173913043478259</v>
      </c>
      <c r="I19" s="6"/>
      <c r="J19" s="7">
        <v>3000</v>
      </c>
      <c r="K19" s="7"/>
      <c r="L19" s="6">
        <v>0</v>
      </c>
      <c r="M19" s="6">
        <v>0</v>
      </c>
      <c r="N19" s="6">
        <v>0</v>
      </c>
      <c r="O19" s="6">
        <v>8</v>
      </c>
      <c r="P19" s="15" t="s">
        <v>76</v>
      </c>
      <c r="Q19" s="10">
        <v>0</v>
      </c>
    </row>
    <row r="20" spans="1:17" ht="23.1" customHeight="1" x14ac:dyDescent="0.25">
      <c r="A20" s="15" t="s">
        <v>99</v>
      </c>
      <c r="B20" s="5" t="s">
        <v>101</v>
      </c>
      <c r="C20" s="5" t="s">
        <v>54</v>
      </c>
      <c r="D20" s="15" t="s">
        <v>84</v>
      </c>
      <c r="E20" s="26"/>
      <c r="F20" s="7">
        <v>6300</v>
      </c>
      <c r="G20" s="7">
        <v>8000</v>
      </c>
      <c r="H20" s="16">
        <v>0.26984126984126983</v>
      </c>
      <c r="I20" s="6"/>
      <c r="J20" s="7"/>
      <c r="K20" s="7"/>
      <c r="L20" s="6">
        <v>0</v>
      </c>
      <c r="M20" s="6">
        <v>0</v>
      </c>
      <c r="N20" s="6">
        <v>0</v>
      </c>
      <c r="O20" s="6">
        <v>8</v>
      </c>
      <c r="P20" s="15" t="s">
        <v>76</v>
      </c>
      <c r="Q20" s="10">
        <v>0</v>
      </c>
    </row>
    <row r="21" spans="1:17" ht="23.1" customHeight="1" x14ac:dyDescent="0.25">
      <c r="A21" s="15" t="s">
        <v>102</v>
      </c>
      <c r="B21" s="5" t="s">
        <v>103</v>
      </c>
      <c r="C21" s="5" t="s">
        <v>52</v>
      </c>
      <c r="D21" s="15" t="s">
        <v>104</v>
      </c>
      <c r="E21" s="26"/>
      <c r="F21" s="7">
        <v>650</v>
      </c>
      <c r="G21" s="7">
        <v>1000</v>
      </c>
      <c r="H21" s="16">
        <v>0.53846153846153844</v>
      </c>
      <c r="I21" s="6"/>
      <c r="J21" s="7">
        <v>800</v>
      </c>
      <c r="K21" s="7"/>
      <c r="L21" s="6">
        <v>0</v>
      </c>
      <c r="M21" s="6">
        <v>0</v>
      </c>
      <c r="N21" s="6">
        <v>0</v>
      </c>
      <c r="O21" s="6">
        <v>8</v>
      </c>
      <c r="P21" s="15" t="s">
        <v>76</v>
      </c>
      <c r="Q21" s="10">
        <v>0</v>
      </c>
    </row>
    <row r="22" spans="1:17" ht="23.1" customHeight="1" x14ac:dyDescent="0.25">
      <c r="A22" s="15" t="s">
        <v>105</v>
      </c>
      <c r="B22" s="5" t="s">
        <v>106</v>
      </c>
      <c r="C22" s="5" t="s">
        <v>50</v>
      </c>
      <c r="D22" s="15" t="s">
        <v>75</v>
      </c>
      <c r="E22" s="26"/>
      <c r="F22" s="7">
        <v>11500</v>
      </c>
      <c r="G22" s="7">
        <v>15000</v>
      </c>
      <c r="H22" s="16">
        <v>0.30434782608695649</v>
      </c>
      <c r="I22" s="6">
        <v>2</v>
      </c>
      <c r="J22" s="7">
        <v>13000</v>
      </c>
      <c r="K22" s="7"/>
      <c r="L22" s="6">
        <v>0</v>
      </c>
      <c r="M22" s="6">
        <v>0</v>
      </c>
      <c r="N22" s="6">
        <v>2</v>
      </c>
      <c r="O22" s="6">
        <v>8</v>
      </c>
      <c r="P22" s="15" t="s">
        <v>76</v>
      </c>
      <c r="Q22" s="10">
        <v>23000</v>
      </c>
    </row>
    <row r="23" spans="1:17" ht="23.1" customHeight="1" x14ac:dyDescent="0.25">
      <c r="A23" s="15" t="s">
        <v>107</v>
      </c>
      <c r="B23" s="5" t="s">
        <v>108</v>
      </c>
      <c r="C23" s="8" t="s">
        <v>53</v>
      </c>
      <c r="D23" s="17" t="s">
        <v>59</v>
      </c>
      <c r="E23" s="26"/>
      <c r="F23" s="7">
        <v>300</v>
      </c>
      <c r="G23" s="7">
        <v>1000</v>
      </c>
      <c r="H23" s="16">
        <v>2.333333333333333</v>
      </c>
      <c r="I23" s="6">
        <v>5</v>
      </c>
      <c r="J23" s="7">
        <v>600</v>
      </c>
      <c r="K23" s="7"/>
      <c r="L23" s="6">
        <v>0</v>
      </c>
      <c r="M23" s="6">
        <v>0</v>
      </c>
      <c r="N23" s="6">
        <v>5</v>
      </c>
      <c r="O23" s="6">
        <v>8</v>
      </c>
      <c r="P23" s="15" t="s">
        <v>76</v>
      </c>
      <c r="Q23" s="10">
        <v>1500</v>
      </c>
    </row>
    <row r="24" spans="1:17" ht="23.1" customHeight="1" x14ac:dyDescent="0.25">
      <c r="A24" s="15" t="s">
        <v>91</v>
      </c>
      <c r="B24" s="5" t="s">
        <v>109</v>
      </c>
      <c r="C24" s="5" t="s">
        <v>52</v>
      </c>
      <c r="D24" s="17" t="s">
        <v>59</v>
      </c>
      <c r="E24" s="26"/>
      <c r="F24" s="7">
        <v>700</v>
      </c>
      <c r="G24" s="7">
        <v>1000</v>
      </c>
      <c r="H24" s="16">
        <v>0.42857142857142849</v>
      </c>
      <c r="I24" s="6">
        <v>10</v>
      </c>
      <c r="J24" s="7">
        <v>1000</v>
      </c>
      <c r="K24" s="7"/>
      <c r="L24" s="6">
        <v>0</v>
      </c>
      <c r="M24" s="6">
        <v>0</v>
      </c>
      <c r="N24" s="6">
        <v>10</v>
      </c>
      <c r="O24" s="6">
        <v>8</v>
      </c>
      <c r="P24" s="15" t="s">
        <v>81</v>
      </c>
      <c r="Q24" s="10">
        <v>7000</v>
      </c>
    </row>
    <row r="25" spans="1:17" ht="23.1" customHeight="1" x14ac:dyDescent="0.25">
      <c r="A25" s="15" t="s">
        <v>110</v>
      </c>
      <c r="B25" s="5" t="s">
        <v>111</v>
      </c>
      <c r="C25" s="5" t="s">
        <v>54</v>
      </c>
      <c r="D25" s="17" t="s">
        <v>59</v>
      </c>
      <c r="E25" s="26"/>
      <c r="F25" s="7">
        <v>750</v>
      </c>
      <c r="G25" s="7">
        <v>1000</v>
      </c>
      <c r="H25" s="16">
        <v>0.33333333333333331</v>
      </c>
      <c r="I25" s="6">
        <v>20</v>
      </c>
      <c r="J25" s="7">
        <v>1000</v>
      </c>
      <c r="K25" s="7"/>
      <c r="L25" s="6">
        <v>0</v>
      </c>
      <c r="M25" s="6">
        <v>0</v>
      </c>
      <c r="N25" s="6">
        <v>19</v>
      </c>
      <c r="O25" s="6">
        <v>8</v>
      </c>
      <c r="P25" s="15" t="s">
        <v>81</v>
      </c>
      <c r="Q25" s="10">
        <v>15000</v>
      </c>
    </row>
    <row r="26" spans="1:17" ht="23.1" customHeight="1" x14ac:dyDescent="0.25">
      <c r="A26" s="15" t="s">
        <v>110</v>
      </c>
      <c r="B26" s="5" t="s">
        <v>112</v>
      </c>
      <c r="C26" s="5" t="s">
        <v>54</v>
      </c>
      <c r="D26" s="17" t="s">
        <v>59</v>
      </c>
      <c r="E26" s="26"/>
      <c r="F26" s="7">
        <v>750</v>
      </c>
      <c r="G26" s="7">
        <v>1000</v>
      </c>
      <c r="H26" s="16">
        <v>0.33333333333333331</v>
      </c>
      <c r="I26" s="6">
        <v>9</v>
      </c>
      <c r="J26" s="7"/>
      <c r="K26" s="7"/>
      <c r="L26" s="6">
        <v>0</v>
      </c>
      <c r="M26" s="6">
        <v>0</v>
      </c>
      <c r="N26" s="6">
        <v>8</v>
      </c>
      <c r="O26" s="6">
        <v>8</v>
      </c>
      <c r="P26" s="15" t="s">
        <v>76</v>
      </c>
      <c r="Q26" s="10">
        <v>6750</v>
      </c>
    </row>
    <row r="27" spans="1:17" ht="23.1" customHeight="1" x14ac:dyDescent="0.25">
      <c r="A27" s="15" t="s">
        <v>110</v>
      </c>
      <c r="B27" s="5" t="s">
        <v>113</v>
      </c>
      <c r="C27" s="5" t="s">
        <v>54</v>
      </c>
      <c r="D27" s="17" t="s">
        <v>59</v>
      </c>
      <c r="E27" s="26"/>
      <c r="F27" s="7">
        <v>750</v>
      </c>
      <c r="G27" s="7">
        <v>1000</v>
      </c>
      <c r="H27" s="16">
        <v>0.33333333333333331</v>
      </c>
      <c r="I27" s="6"/>
      <c r="J27" s="7"/>
      <c r="K27" s="7"/>
      <c r="L27" s="6">
        <v>0</v>
      </c>
      <c r="M27" s="6">
        <v>0</v>
      </c>
      <c r="N27" s="6">
        <v>0</v>
      </c>
      <c r="O27" s="6">
        <v>8</v>
      </c>
      <c r="P27" s="15" t="s">
        <v>76</v>
      </c>
      <c r="Q27" s="10">
        <v>0</v>
      </c>
    </row>
    <row r="28" spans="1:17" ht="23.1" customHeight="1" x14ac:dyDescent="0.25">
      <c r="A28" s="15" t="s">
        <v>110</v>
      </c>
      <c r="B28" s="5" t="s">
        <v>114</v>
      </c>
      <c r="C28" s="5" t="s">
        <v>54</v>
      </c>
      <c r="D28" s="17" t="s">
        <v>59</v>
      </c>
      <c r="E28" s="26"/>
      <c r="F28" s="7">
        <v>750</v>
      </c>
      <c r="G28" s="7">
        <v>1000</v>
      </c>
      <c r="H28" s="16">
        <v>0.33333333333333331</v>
      </c>
      <c r="I28" s="6"/>
      <c r="J28" s="7"/>
      <c r="K28" s="7"/>
      <c r="L28" s="6">
        <v>0</v>
      </c>
      <c r="M28" s="6">
        <v>0</v>
      </c>
      <c r="N28" s="6">
        <v>0</v>
      </c>
      <c r="O28" s="6">
        <v>8</v>
      </c>
      <c r="P28" s="15" t="s">
        <v>76</v>
      </c>
      <c r="Q28" s="10">
        <v>0</v>
      </c>
    </row>
    <row r="29" spans="1:17" ht="23.1" customHeight="1" x14ac:dyDescent="0.25">
      <c r="A29" s="15" t="s">
        <v>110</v>
      </c>
      <c r="B29" s="5" t="s">
        <v>114</v>
      </c>
      <c r="C29" s="5" t="s">
        <v>54</v>
      </c>
      <c r="D29" s="17" t="s">
        <v>59</v>
      </c>
      <c r="E29" s="26"/>
      <c r="F29" s="7">
        <v>750</v>
      </c>
      <c r="G29" s="7">
        <v>1000</v>
      </c>
      <c r="H29" s="16">
        <v>0.33333333333333331</v>
      </c>
      <c r="I29" s="6"/>
      <c r="J29" s="7"/>
      <c r="K29" s="7"/>
      <c r="L29" s="6">
        <v>0</v>
      </c>
      <c r="M29" s="6">
        <v>0</v>
      </c>
      <c r="N29" s="6">
        <v>0</v>
      </c>
      <c r="O29" s="6">
        <v>8</v>
      </c>
      <c r="P29" s="15" t="s">
        <v>76</v>
      </c>
      <c r="Q29" s="10">
        <v>0</v>
      </c>
    </row>
    <row r="30" spans="1:17" ht="23.1" customHeight="1" x14ac:dyDescent="0.25">
      <c r="A30" s="15" t="s">
        <v>110</v>
      </c>
      <c r="B30" s="5" t="s">
        <v>115</v>
      </c>
      <c r="C30" s="5" t="s">
        <v>54</v>
      </c>
      <c r="D30" s="17" t="s">
        <v>59</v>
      </c>
      <c r="E30" s="26"/>
      <c r="F30" s="7">
        <v>750</v>
      </c>
      <c r="G30" s="7">
        <v>1000</v>
      </c>
      <c r="H30" s="16">
        <v>0.33333333333333331</v>
      </c>
      <c r="I30" s="6"/>
      <c r="J30" s="7"/>
      <c r="K30" s="7"/>
      <c r="L30" s="6">
        <v>0</v>
      </c>
      <c r="M30" s="6">
        <v>0</v>
      </c>
      <c r="N30" s="6">
        <v>0</v>
      </c>
      <c r="O30" s="6">
        <v>8</v>
      </c>
      <c r="P30" s="15" t="s">
        <v>76</v>
      </c>
      <c r="Q30" s="10">
        <v>0</v>
      </c>
    </row>
    <row r="31" spans="1:17" ht="23.1" customHeight="1" x14ac:dyDescent="0.25">
      <c r="A31" s="15" t="s">
        <v>92</v>
      </c>
      <c r="B31" s="5" t="s">
        <v>116</v>
      </c>
      <c r="C31" s="5" t="s">
        <v>54</v>
      </c>
      <c r="D31" s="17" t="s">
        <v>59</v>
      </c>
      <c r="E31" s="26"/>
      <c r="F31" s="7">
        <v>750</v>
      </c>
      <c r="G31" s="7">
        <v>1000</v>
      </c>
      <c r="H31" s="16">
        <v>0.33333333333333331</v>
      </c>
      <c r="I31" s="6"/>
      <c r="J31" s="7"/>
      <c r="K31" s="7"/>
      <c r="L31" s="6">
        <v>0</v>
      </c>
      <c r="M31" s="6">
        <v>0</v>
      </c>
      <c r="N31" s="6">
        <v>0</v>
      </c>
      <c r="O31" s="6">
        <v>8</v>
      </c>
      <c r="P31" s="15" t="s">
        <v>76</v>
      </c>
      <c r="Q31" s="10">
        <v>0</v>
      </c>
    </row>
    <row r="32" spans="1:17" ht="23.1" customHeight="1" x14ac:dyDescent="0.25">
      <c r="A32" s="15" t="s">
        <v>117</v>
      </c>
      <c r="B32" s="5" t="s">
        <v>118</v>
      </c>
      <c r="C32" s="5" t="s">
        <v>50</v>
      </c>
      <c r="D32" s="17" t="s">
        <v>59</v>
      </c>
      <c r="E32" s="26"/>
      <c r="F32" s="7">
        <v>1600</v>
      </c>
      <c r="G32" s="7">
        <v>2500</v>
      </c>
      <c r="H32" s="16">
        <v>0.5625</v>
      </c>
      <c r="I32" s="6">
        <v>3</v>
      </c>
      <c r="J32" s="7">
        <v>2000</v>
      </c>
      <c r="K32" s="7"/>
      <c r="L32" s="6">
        <v>0</v>
      </c>
      <c r="M32" s="6">
        <v>0</v>
      </c>
      <c r="N32" s="6">
        <v>3</v>
      </c>
      <c r="O32" s="6">
        <v>8</v>
      </c>
      <c r="P32" s="15" t="s">
        <v>76</v>
      </c>
      <c r="Q32" s="10">
        <v>4800</v>
      </c>
    </row>
    <row r="33" spans="1:17" ht="23.1" customHeight="1" x14ac:dyDescent="0.25">
      <c r="A33" s="15" t="s">
        <v>119</v>
      </c>
      <c r="B33" s="5" t="s">
        <v>120</v>
      </c>
      <c r="C33" s="5" t="s">
        <v>50</v>
      </c>
      <c r="D33" s="15" t="s">
        <v>59</v>
      </c>
      <c r="E33" s="26"/>
      <c r="F33" s="7">
        <v>1688</v>
      </c>
      <c r="G33" s="7">
        <v>2500</v>
      </c>
      <c r="H33" s="16">
        <v>0.48104265402843599</v>
      </c>
      <c r="I33" s="6">
        <v>8</v>
      </c>
      <c r="J33" s="7">
        <v>2200</v>
      </c>
      <c r="K33" s="7"/>
      <c r="L33" s="6">
        <v>0</v>
      </c>
      <c r="M33" s="6">
        <v>0</v>
      </c>
      <c r="N33" s="6">
        <v>8</v>
      </c>
      <c r="O33" s="6">
        <v>8</v>
      </c>
      <c r="P33" s="15" t="s">
        <v>76</v>
      </c>
      <c r="Q33" s="10">
        <v>13504</v>
      </c>
    </row>
    <row r="34" spans="1:17" ht="23.1" customHeight="1" x14ac:dyDescent="0.25">
      <c r="A34" s="15" t="s">
        <v>119</v>
      </c>
      <c r="B34" s="5" t="s">
        <v>121</v>
      </c>
      <c r="C34" s="5" t="s">
        <v>50</v>
      </c>
      <c r="D34" s="15" t="s">
        <v>59</v>
      </c>
      <c r="E34" s="26"/>
      <c r="F34" s="7">
        <v>3750</v>
      </c>
      <c r="G34" s="7">
        <v>5000</v>
      </c>
      <c r="H34" s="16">
        <v>0.33333333333333331</v>
      </c>
      <c r="I34" s="6"/>
      <c r="J34" s="7">
        <v>4500</v>
      </c>
      <c r="K34" s="7"/>
      <c r="L34" s="6">
        <v>0</v>
      </c>
      <c r="M34" s="6">
        <v>0</v>
      </c>
      <c r="N34" s="6">
        <v>0</v>
      </c>
      <c r="O34" s="6">
        <v>8</v>
      </c>
      <c r="P34" s="15" t="s">
        <v>76</v>
      </c>
      <c r="Q34" s="10">
        <v>0</v>
      </c>
    </row>
    <row r="35" spans="1:17" ht="23.1" customHeight="1" x14ac:dyDescent="0.25">
      <c r="A35" s="15" t="s">
        <v>91</v>
      </c>
      <c r="B35" s="5" t="s">
        <v>122</v>
      </c>
      <c r="C35" s="5" t="s">
        <v>52</v>
      </c>
      <c r="D35" s="17" t="s">
        <v>59</v>
      </c>
      <c r="E35" s="26"/>
      <c r="F35" s="7">
        <v>1750</v>
      </c>
      <c r="G35" s="7">
        <v>2500</v>
      </c>
      <c r="H35" s="16">
        <v>0.42857142857142849</v>
      </c>
      <c r="I35" s="6"/>
      <c r="J35" s="7">
        <v>2000</v>
      </c>
      <c r="K35" s="7"/>
      <c r="L35" s="6">
        <v>0</v>
      </c>
      <c r="M35" s="6">
        <v>0</v>
      </c>
      <c r="N35" s="6">
        <v>0</v>
      </c>
      <c r="O35" s="6">
        <v>8</v>
      </c>
      <c r="P35" s="15" t="s">
        <v>76</v>
      </c>
      <c r="Q35" s="10">
        <v>0</v>
      </c>
    </row>
    <row r="36" spans="1:17" ht="23.1" customHeight="1" x14ac:dyDescent="0.25">
      <c r="A36" s="15" t="s">
        <v>123</v>
      </c>
      <c r="B36" s="5" t="s">
        <v>124</v>
      </c>
      <c r="C36" s="5" t="s">
        <v>50</v>
      </c>
      <c r="D36" s="17" t="s">
        <v>59</v>
      </c>
      <c r="E36" s="26"/>
      <c r="F36" s="7">
        <v>1800</v>
      </c>
      <c r="G36" s="7">
        <v>3000</v>
      </c>
      <c r="H36" s="16">
        <v>0.66666666666666663</v>
      </c>
      <c r="I36" s="6">
        <v>15</v>
      </c>
      <c r="J36" s="7">
        <v>2500</v>
      </c>
      <c r="K36" s="7"/>
      <c r="L36" s="6">
        <v>0</v>
      </c>
      <c r="M36" s="6">
        <v>0</v>
      </c>
      <c r="N36" s="6">
        <v>15</v>
      </c>
      <c r="O36" s="6">
        <v>8</v>
      </c>
      <c r="P36" s="15" t="s">
        <v>81</v>
      </c>
      <c r="Q36" s="10">
        <v>27000</v>
      </c>
    </row>
    <row r="37" spans="1:17" ht="23.1" customHeight="1" x14ac:dyDescent="0.25">
      <c r="A37" s="15" t="s">
        <v>92</v>
      </c>
      <c r="B37" s="5" t="s">
        <v>125</v>
      </c>
      <c r="C37" s="5" t="s">
        <v>52</v>
      </c>
      <c r="D37" s="17" t="s">
        <v>59</v>
      </c>
      <c r="E37" s="26"/>
      <c r="F37" s="7">
        <v>1000</v>
      </c>
      <c r="G37" s="7">
        <v>2500</v>
      </c>
      <c r="H37" s="16">
        <v>1.5</v>
      </c>
      <c r="I37" s="6">
        <v>20</v>
      </c>
      <c r="J37" s="7">
        <v>2000</v>
      </c>
      <c r="K37" s="7"/>
      <c r="L37" s="6">
        <v>0</v>
      </c>
      <c r="M37" s="6">
        <v>0</v>
      </c>
      <c r="N37" s="6">
        <v>20</v>
      </c>
      <c r="O37" s="6">
        <v>8</v>
      </c>
      <c r="P37" s="15" t="s">
        <v>81</v>
      </c>
      <c r="Q37" s="10">
        <v>20000</v>
      </c>
    </row>
    <row r="38" spans="1:17" ht="23.1" customHeight="1" x14ac:dyDescent="0.25">
      <c r="A38" s="15" t="s">
        <v>92</v>
      </c>
      <c r="B38" s="5" t="s">
        <v>126</v>
      </c>
      <c r="C38" s="5" t="s">
        <v>52</v>
      </c>
      <c r="D38" s="17" t="s">
        <v>59</v>
      </c>
      <c r="E38" s="26"/>
      <c r="F38" s="7">
        <v>600</v>
      </c>
      <c r="G38" s="7">
        <v>2000</v>
      </c>
      <c r="H38" s="16">
        <v>2.333333333333333</v>
      </c>
      <c r="I38" s="6">
        <v>20</v>
      </c>
      <c r="J38" s="7">
        <v>1500</v>
      </c>
      <c r="K38" s="7"/>
      <c r="L38" s="6">
        <v>0</v>
      </c>
      <c r="M38" s="6">
        <v>0</v>
      </c>
      <c r="N38" s="6">
        <v>20</v>
      </c>
      <c r="O38" s="6">
        <v>8</v>
      </c>
      <c r="P38" s="15" t="s">
        <v>81</v>
      </c>
      <c r="Q38" s="10">
        <v>12000</v>
      </c>
    </row>
    <row r="39" spans="1:17" ht="23.1" customHeight="1" x14ac:dyDescent="0.25">
      <c r="A39" s="15" t="s">
        <v>92</v>
      </c>
      <c r="B39" s="5" t="s">
        <v>127</v>
      </c>
      <c r="C39" s="5" t="s">
        <v>52</v>
      </c>
      <c r="D39" s="17" t="s">
        <v>59</v>
      </c>
      <c r="E39" s="26"/>
      <c r="F39" s="7">
        <v>1200</v>
      </c>
      <c r="G39" s="7">
        <v>3000</v>
      </c>
      <c r="H39" s="16">
        <v>1.5</v>
      </c>
      <c r="I39" s="6">
        <v>10</v>
      </c>
      <c r="J39" s="7">
        <v>2000</v>
      </c>
      <c r="K39" s="7"/>
      <c r="L39" s="6">
        <v>0</v>
      </c>
      <c r="M39" s="6">
        <v>0</v>
      </c>
      <c r="N39" s="6">
        <v>10</v>
      </c>
      <c r="O39" s="6">
        <v>8</v>
      </c>
      <c r="P39" s="15" t="s">
        <v>81</v>
      </c>
      <c r="Q39" s="10">
        <v>12000</v>
      </c>
    </row>
    <row r="40" spans="1:17" ht="23.1" customHeight="1" x14ac:dyDescent="0.25">
      <c r="A40" s="15" t="s">
        <v>92</v>
      </c>
      <c r="B40" s="5" t="s">
        <v>128</v>
      </c>
      <c r="C40" s="5" t="s">
        <v>52</v>
      </c>
      <c r="D40" s="17" t="s">
        <v>59</v>
      </c>
      <c r="E40" s="26"/>
      <c r="F40" s="7">
        <v>1000</v>
      </c>
      <c r="G40" s="7">
        <v>3000</v>
      </c>
      <c r="H40" s="16">
        <v>2</v>
      </c>
      <c r="I40" s="6">
        <v>10</v>
      </c>
      <c r="J40" s="7">
        <v>2000</v>
      </c>
      <c r="K40" s="7"/>
      <c r="L40" s="6">
        <v>0</v>
      </c>
      <c r="M40" s="6">
        <v>0</v>
      </c>
      <c r="N40" s="6">
        <v>10</v>
      </c>
      <c r="O40" s="6">
        <v>8</v>
      </c>
      <c r="P40" s="15" t="s">
        <v>81</v>
      </c>
      <c r="Q40" s="10">
        <v>10000</v>
      </c>
    </row>
    <row r="41" spans="1:17" ht="23.1" customHeight="1" x14ac:dyDescent="0.25">
      <c r="A41" s="15" t="s">
        <v>91</v>
      </c>
      <c r="B41" s="5" t="s">
        <v>129</v>
      </c>
      <c r="C41" s="5" t="s">
        <v>52</v>
      </c>
      <c r="D41" s="17" t="s">
        <v>59</v>
      </c>
      <c r="E41" s="26"/>
      <c r="F41" s="7">
        <v>2000</v>
      </c>
      <c r="G41" s="7">
        <v>5000</v>
      </c>
      <c r="H41" s="16">
        <v>1.5</v>
      </c>
      <c r="I41" s="6">
        <v>5</v>
      </c>
      <c r="J41" s="7">
        <v>3500</v>
      </c>
      <c r="K41" s="7"/>
      <c r="L41" s="6">
        <v>0</v>
      </c>
      <c r="M41" s="6">
        <v>0</v>
      </c>
      <c r="N41" s="6">
        <v>5</v>
      </c>
      <c r="O41" s="6">
        <v>8</v>
      </c>
      <c r="P41" s="15" t="s">
        <v>76</v>
      </c>
      <c r="Q41" s="10">
        <v>10000</v>
      </c>
    </row>
    <row r="42" spans="1:17" ht="23.1" customHeight="1" x14ac:dyDescent="0.25">
      <c r="A42" s="15" t="s">
        <v>91</v>
      </c>
      <c r="B42" s="5" t="s">
        <v>130</v>
      </c>
      <c r="C42" s="5" t="s">
        <v>52</v>
      </c>
      <c r="D42" s="17" t="s">
        <v>59</v>
      </c>
      <c r="E42" s="26"/>
      <c r="F42" s="7">
        <v>2500</v>
      </c>
      <c r="G42" s="7">
        <v>5000</v>
      </c>
      <c r="H42" s="16">
        <v>1</v>
      </c>
      <c r="I42" s="6">
        <v>6</v>
      </c>
      <c r="J42" s="7">
        <v>4000</v>
      </c>
      <c r="K42" s="7"/>
      <c r="L42" s="6">
        <v>0</v>
      </c>
      <c r="M42" s="6">
        <v>0</v>
      </c>
      <c r="N42" s="6">
        <v>6</v>
      </c>
      <c r="O42" s="6">
        <v>8</v>
      </c>
      <c r="P42" s="15" t="s">
        <v>76</v>
      </c>
      <c r="Q42" s="10">
        <v>15000</v>
      </c>
    </row>
    <row r="43" spans="1:17" ht="23.1" customHeight="1" x14ac:dyDescent="0.25">
      <c r="A43" s="15" t="s">
        <v>91</v>
      </c>
      <c r="B43" s="5" t="s">
        <v>131</v>
      </c>
      <c r="C43" s="5" t="s">
        <v>52</v>
      </c>
      <c r="D43" s="15" t="s">
        <v>132</v>
      </c>
      <c r="E43" s="26"/>
      <c r="F43" s="7">
        <v>6000</v>
      </c>
      <c r="G43" s="7">
        <v>15000</v>
      </c>
      <c r="H43" s="16">
        <v>1.5</v>
      </c>
      <c r="I43" s="6">
        <v>1</v>
      </c>
      <c r="J43" s="7">
        <v>12000</v>
      </c>
      <c r="K43" s="7"/>
      <c r="L43" s="6">
        <v>0</v>
      </c>
      <c r="M43" s="6">
        <v>0</v>
      </c>
      <c r="N43" s="6">
        <v>1</v>
      </c>
      <c r="O43" s="6">
        <v>8</v>
      </c>
      <c r="P43" s="15" t="s">
        <v>76</v>
      </c>
      <c r="Q43" s="10">
        <v>6000</v>
      </c>
    </row>
    <row r="44" spans="1:17" ht="23.1" customHeight="1" x14ac:dyDescent="0.25">
      <c r="A44" s="15" t="s">
        <v>92</v>
      </c>
      <c r="B44" s="5" t="s">
        <v>133</v>
      </c>
      <c r="C44" s="5" t="s">
        <v>52</v>
      </c>
      <c r="D44" s="17" t="s">
        <v>59</v>
      </c>
      <c r="E44" s="26"/>
      <c r="F44" s="7">
        <v>1750</v>
      </c>
      <c r="G44" s="7">
        <v>5000</v>
      </c>
      <c r="H44" s="16">
        <v>1.857142857142857</v>
      </c>
      <c r="I44" s="6">
        <v>10</v>
      </c>
      <c r="J44" s="7">
        <v>3500</v>
      </c>
      <c r="K44" s="7"/>
      <c r="L44" s="6">
        <v>0</v>
      </c>
      <c r="M44" s="6">
        <v>0</v>
      </c>
      <c r="N44" s="6">
        <v>10</v>
      </c>
      <c r="O44" s="6">
        <v>8</v>
      </c>
      <c r="P44" s="15" t="s">
        <v>81</v>
      </c>
      <c r="Q44" s="10">
        <v>17500</v>
      </c>
    </row>
    <row r="45" spans="1:17" ht="23.1" customHeight="1" x14ac:dyDescent="0.25">
      <c r="A45" s="15" t="s">
        <v>91</v>
      </c>
      <c r="B45" s="5" t="s">
        <v>134</v>
      </c>
      <c r="C45" s="5" t="s">
        <v>54</v>
      </c>
      <c r="D45" s="17" t="s">
        <v>59</v>
      </c>
      <c r="E45" s="26"/>
      <c r="F45" s="7">
        <v>275</v>
      </c>
      <c r="G45" s="7">
        <v>500</v>
      </c>
      <c r="H45" s="16">
        <v>0.81818181818181823</v>
      </c>
      <c r="I45" s="6">
        <v>110</v>
      </c>
      <c r="J45" s="7">
        <v>500</v>
      </c>
      <c r="K45" s="7"/>
      <c r="L45" s="6">
        <v>0</v>
      </c>
      <c r="M45" s="6">
        <v>0</v>
      </c>
      <c r="N45" s="6">
        <v>110</v>
      </c>
      <c r="O45" s="6">
        <v>8</v>
      </c>
      <c r="P45" s="15" t="s">
        <v>81</v>
      </c>
      <c r="Q45" s="10">
        <v>30250</v>
      </c>
    </row>
    <row r="46" spans="1:17" ht="23.1" customHeight="1" x14ac:dyDescent="0.25">
      <c r="A46" s="15" t="s">
        <v>91</v>
      </c>
      <c r="B46" s="5" t="s">
        <v>135</v>
      </c>
      <c r="C46" s="5" t="s">
        <v>54</v>
      </c>
      <c r="D46" s="17" t="s">
        <v>59</v>
      </c>
      <c r="E46" s="26"/>
      <c r="F46" s="7">
        <v>575</v>
      </c>
      <c r="G46" s="7">
        <v>1000</v>
      </c>
      <c r="H46" s="16">
        <v>0.73913043478260865</v>
      </c>
      <c r="I46" s="6">
        <v>40</v>
      </c>
      <c r="J46" s="7">
        <v>1000</v>
      </c>
      <c r="K46" s="7"/>
      <c r="L46" s="6">
        <v>0</v>
      </c>
      <c r="M46" s="6">
        <v>0</v>
      </c>
      <c r="N46" s="6">
        <v>40</v>
      </c>
      <c r="O46" s="6">
        <v>8</v>
      </c>
      <c r="P46" s="15" t="s">
        <v>81</v>
      </c>
      <c r="Q46" s="10">
        <v>23000</v>
      </c>
    </row>
    <row r="47" spans="1:17" ht="23.1" customHeight="1" x14ac:dyDescent="0.25">
      <c r="A47" s="15" t="s">
        <v>91</v>
      </c>
      <c r="B47" s="5" t="s">
        <v>136</v>
      </c>
      <c r="C47" s="5" t="s">
        <v>54</v>
      </c>
      <c r="D47" s="17" t="s">
        <v>59</v>
      </c>
      <c r="E47" s="26"/>
      <c r="F47" s="7">
        <v>700</v>
      </c>
      <c r="G47" s="7">
        <v>1000</v>
      </c>
      <c r="H47" s="16">
        <v>0.42857142857142849</v>
      </c>
      <c r="I47" s="6">
        <v>40</v>
      </c>
      <c r="J47" s="7">
        <v>1000</v>
      </c>
      <c r="K47" s="7"/>
      <c r="L47" s="6">
        <v>0</v>
      </c>
      <c r="M47" s="6">
        <v>0</v>
      </c>
      <c r="N47" s="6">
        <v>40</v>
      </c>
      <c r="O47" s="6">
        <v>8</v>
      </c>
      <c r="P47" s="15" t="s">
        <v>81</v>
      </c>
      <c r="Q47" s="10">
        <v>28000</v>
      </c>
    </row>
    <row r="48" spans="1:17" ht="23.1" customHeight="1" x14ac:dyDescent="0.25">
      <c r="A48" s="15" t="s">
        <v>137</v>
      </c>
      <c r="B48" s="5" t="s">
        <v>138</v>
      </c>
      <c r="C48" s="5" t="s">
        <v>54</v>
      </c>
      <c r="D48" s="17" t="s">
        <v>59</v>
      </c>
      <c r="E48" s="26"/>
      <c r="F48" s="7">
        <v>350</v>
      </c>
      <c r="G48" s="7">
        <v>700</v>
      </c>
      <c r="H48" s="16">
        <v>1</v>
      </c>
      <c r="I48" s="6">
        <v>10</v>
      </c>
      <c r="J48" s="7">
        <v>500</v>
      </c>
      <c r="K48" s="7"/>
      <c r="L48" s="6">
        <v>0</v>
      </c>
      <c r="M48" s="6">
        <v>0</v>
      </c>
      <c r="N48" s="6">
        <v>10</v>
      </c>
      <c r="O48" s="6">
        <v>8</v>
      </c>
      <c r="P48" s="15" t="s">
        <v>81</v>
      </c>
      <c r="Q48" s="10">
        <v>3500</v>
      </c>
    </row>
    <row r="49" spans="1:17" ht="23.1" customHeight="1" x14ac:dyDescent="0.25">
      <c r="A49" s="15" t="s">
        <v>137</v>
      </c>
      <c r="B49" s="5" t="s">
        <v>139</v>
      </c>
      <c r="C49" s="5" t="s">
        <v>54</v>
      </c>
      <c r="D49" s="17" t="s">
        <v>59</v>
      </c>
      <c r="E49" s="26"/>
      <c r="F49" s="7">
        <v>192</v>
      </c>
      <c r="G49" s="7">
        <v>300</v>
      </c>
      <c r="H49" s="16">
        <v>0.5625</v>
      </c>
      <c r="I49" s="6">
        <v>10</v>
      </c>
      <c r="J49" s="7">
        <v>250</v>
      </c>
      <c r="K49" s="7"/>
      <c r="L49" s="6">
        <v>0</v>
      </c>
      <c r="M49" s="6">
        <v>0</v>
      </c>
      <c r="N49" s="6">
        <v>10</v>
      </c>
      <c r="O49" s="6">
        <v>8</v>
      </c>
      <c r="P49" s="15" t="s">
        <v>81</v>
      </c>
      <c r="Q49" s="10">
        <v>1920</v>
      </c>
    </row>
    <row r="50" spans="1:17" ht="23.1" customHeight="1" x14ac:dyDescent="0.25">
      <c r="A50" s="15" t="s">
        <v>137</v>
      </c>
      <c r="B50" s="5" t="s">
        <v>37</v>
      </c>
      <c r="C50" s="5" t="s">
        <v>54</v>
      </c>
      <c r="D50" s="17" t="s">
        <v>59</v>
      </c>
      <c r="E50" s="26"/>
      <c r="F50" s="7">
        <v>234</v>
      </c>
      <c r="G50" s="7">
        <v>500</v>
      </c>
      <c r="H50" s="16">
        <v>1.1367521367521369</v>
      </c>
      <c r="I50" s="6">
        <v>10</v>
      </c>
      <c r="J50" s="7">
        <v>350</v>
      </c>
      <c r="K50" s="7"/>
      <c r="L50" s="6">
        <v>0</v>
      </c>
      <c r="M50" s="6">
        <v>3</v>
      </c>
      <c r="N50" s="6">
        <v>7</v>
      </c>
      <c r="O50" s="6">
        <v>8</v>
      </c>
      <c r="P50" s="15" t="s">
        <v>76</v>
      </c>
      <c r="Q50" s="10">
        <v>2340</v>
      </c>
    </row>
    <row r="51" spans="1:17" ht="23.1" customHeight="1" x14ac:dyDescent="0.25">
      <c r="A51" s="15" t="s">
        <v>137</v>
      </c>
      <c r="B51" s="5" t="s">
        <v>140</v>
      </c>
      <c r="C51" s="5" t="s">
        <v>54</v>
      </c>
      <c r="D51" s="17" t="s">
        <v>59</v>
      </c>
      <c r="E51" s="26"/>
      <c r="F51" s="7">
        <v>275</v>
      </c>
      <c r="G51" s="7">
        <v>500</v>
      </c>
      <c r="H51" s="16">
        <v>0.81818181818181823</v>
      </c>
      <c r="I51" s="6">
        <v>10</v>
      </c>
      <c r="J51" s="7">
        <v>400</v>
      </c>
      <c r="K51" s="7"/>
      <c r="L51" s="6">
        <v>0</v>
      </c>
      <c r="M51" s="6">
        <v>0</v>
      </c>
      <c r="N51" s="6">
        <v>10</v>
      </c>
      <c r="O51" s="6">
        <v>8</v>
      </c>
      <c r="P51" s="15" t="s">
        <v>81</v>
      </c>
      <c r="Q51" s="10">
        <v>2750</v>
      </c>
    </row>
    <row r="52" spans="1:17" ht="23.1" customHeight="1" x14ac:dyDescent="0.25">
      <c r="A52" s="15" t="s">
        <v>137</v>
      </c>
      <c r="B52" s="5" t="s">
        <v>141</v>
      </c>
      <c r="C52" s="5" t="s">
        <v>54</v>
      </c>
      <c r="D52" s="17" t="s">
        <v>59</v>
      </c>
      <c r="E52" s="26"/>
      <c r="F52" s="7">
        <v>150</v>
      </c>
      <c r="G52" s="7">
        <v>300</v>
      </c>
      <c r="H52" s="16">
        <v>1</v>
      </c>
      <c r="I52" s="6">
        <v>10</v>
      </c>
      <c r="J52" s="7">
        <v>250</v>
      </c>
      <c r="K52" s="7"/>
      <c r="L52" s="6">
        <v>0</v>
      </c>
      <c r="M52" s="6">
        <v>0</v>
      </c>
      <c r="N52" s="6">
        <v>10</v>
      </c>
      <c r="O52" s="6">
        <v>8</v>
      </c>
      <c r="P52" s="15" t="s">
        <v>81</v>
      </c>
      <c r="Q52" s="10">
        <v>1500</v>
      </c>
    </row>
    <row r="53" spans="1:17" ht="23.1" customHeight="1" x14ac:dyDescent="0.25">
      <c r="A53" s="15" t="s">
        <v>137</v>
      </c>
      <c r="B53" s="5" t="s">
        <v>35</v>
      </c>
      <c r="C53" s="5" t="s">
        <v>54</v>
      </c>
      <c r="D53" s="17" t="s">
        <v>59</v>
      </c>
      <c r="E53" s="26"/>
      <c r="F53" s="7">
        <v>350</v>
      </c>
      <c r="G53" s="7">
        <v>500</v>
      </c>
      <c r="H53" s="16">
        <v>0.42857142857142849</v>
      </c>
      <c r="I53" s="6"/>
      <c r="J53" s="7">
        <v>500</v>
      </c>
      <c r="K53" s="7"/>
      <c r="L53" s="6">
        <v>0</v>
      </c>
      <c r="M53" s="6">
        <v>3</v>
      </c>
      <c r="N53" s="6">
        <v>7</v>
      </c>
      <c r="O53" s="6"/>
      <c r="P53" s="15" t="s">
        <v>81</v>
      </c>
      <c r="Q53" s="7">
        <v>0</v>
      </c>
    </row>
    <row r="54" spans="1:17" ht="23.1" customHeight="1" x14ac:dyDescent="0.25">
      <c r="A54" s="15" t="s">
        <v>91</v>
      </c>
      <c r="B54" s="5" t="s">
        <v>142</v>
      </c>
      <c r="C54" s="5" t="s">
        <v>52</v>
      </c>
      <c r="D54" s="17" t="s">
        <v>59</v>
      </c>
      <c r="E54" s="26"/>
      <c r="F54" s="7">
        <v>1000</v>
      </c>
      <c r="G54" s="7">
        <v>2000</v>
      </c>
      <c r="H54" s="16">
        <v>1</v>
      </c>
      <c r="I54" s="6">
        <v>10</v>
      </c>
      <c r="J54" s="7">
        <v>1500</v>
      </c>
      <c r="K54" s="7"/>
      <c r="L54" s="6">
        <v>0</v>
      </c>
      <c r="M54" s="6">
        <v>0</v>
      </c>
      <c r="N54" s="6">
        <v>10</v>
      </c>
      <c r="O54" s="6">
        <v>8</v>
      </c>
      <c r="P54" s="15" t="s">
        <v>81</v>
      </c>
      <c r="Q54" s="10">
        <v>10000</v>
      </c>
    </row>
    <row r="55" spans="1:17" ht="23.1" customHeight="1" x14ac:dyDescent="0.25">
      <c r="A55" s="15" t="s">
        <v>91</v>
      </c>
      <c r="B55" s="5" t="s">
        <v>39</v>
      </c>
      <c r="C55" s="5" t="s">
        <v>52</v>
      </c>
      <c r="D55" s="17" t="s">
        <v>59</v>
      </c>
      <c r="E55" s="26"/>
      <c r="F55" s="7">
        <v>700</v>
      </c>
      <c r="G55" s="7">
        <v>1000</v>
      </c>
      <c r="H55" s="16">
        <v>0.42857142857142849</v>
      </c>
      <c r="I55" s="6">
        <v>10</v>
      </c>
      <c r="J55" s="7">
        <v>1000</v>
      </c>
      <c r="K55" s="7"/>
      <c r="L55" s="6">
        <v>0</v>
      </c>
      <c r="M55" s="6">
        <v>3</v>
      </c>
      <c r="N55" s="6">
        <v>7</v>
      </c>
      <c r="O55" s="6">
        <v>8</v>
      </c>
      <c r="P55" s="15" t="s">
        <v>76</v>
      </c>
      <c r="Q55" s="10">
        <v>7000</v>
      </c>
    </row>
    <row r="56" spans="1:17" ht="23.1" customHeight="1" x14ac:dyDescent="0.25">
      <c r="A56" s="15" t="s">
        <v>91</v>
      </c>
      <c r="B56" s="5" t="s">
        <v>143</v>
      </c>
      <c r="C56" s="5" t="s">
        <v>52</v>
      </c>
      <c r="D56" s="17" t="s">
        <v>59</v>
      </c>
      <c r="E56" s="26"/>
      <c r="F56" s="7">
        <v>4500</v>
      </c>
      <c r="G56" s="7">
        <v>8000</v>
      </c>
      <c r="H56" s="16">
        <v>0.77777777777777779</v>
      </c>
      <c r="I56" s="6">
        <v>5</v>
      </c>
      <c r="J56" s="7">
        <v>7500</v>
      </c>
      <c r="K56" s="7"/>
      <c r="L56" s="6">
        <v>0</v>
      </c>
      <c r="M56" s="6">
        <v>0</v>
      </c>
      <c r="N56" s="6">
        <v>5</v>
      </c>
      <c r="O56" s="6">
        <v>8</v>
      </c>
      <c r="P56" s="15" t="s">
        <v>76</v>
      </c>
      <c r="Q56" s="10">
        <v>22500</v>
      </c>
    </row>
    <row r="57" spans="1:17" ht="23.1" customHeight="1" x14ac:dyDescent="0.25">
      <c r="A57" s="15" t="s">
        <v>91</v>
      </c>
      <c r="B57" s="5" t="s">
        <v>144</v>
      </c>
      <c r="C57" s="8" t="s">
        <v>53</v>
      </c>
      <c r="D57" s="17" t="s">
        <v>59</v>
      </c>
      <c r="E57" s="26"/>
      <c r="F57" s="7">
        <v>2000</v>
      </c>
      <c r="G57" s="7">
        <v>4500</v>
      </c>
      <c r="H57" s="16">
        <v>1.25</v>
      </c>
      <c r="I57" s="6">
        <v>10</v>
      </c>
      <c r="J57" s="7">
        <v>3500</v>
      </c>
      <c r="K57" s="7"/>
      <c r="L57" s="6">
        <v>0</v>
      </c>
      <c r="M57" s="6">
        <v>0</v>
      </c>
      <c r="N57" s="6">
        <v>10</v>
      </c>
      <c r="O57" s="6">
        <v>8</v>
      </c>
      <c r="P57" s="15" t="s">
        <v>81</v>
      </c>
      <c r="Q57" s="10">
        <v>20000</v>
      </c>
    </row>
    <row r="58" spans="1:17" ht="23.1" customHeight="1" x14ac:dyDescent="0.25">
      <c r="A58" s="15" t="s">
        <v>91</v>
      </c>
      <c r="B58" s="5" t="s">
        <v>145</v>
      </c>
      <c r="C58" s="5" t="s">
        <v>52</v>
      </c>
      <c r="D58" s="17" t="s">
        <v>59</v>
      </c>
      <c r="E58" s="26"/>
      <c r="F58" s="7">
        <v>1200</v>
      </c>
      <c r="G58" s="7">
        <v>4500</v>
      </c>
      <c r="H58" s="16">
        <v>2.75</v>
      </c>
      <c r="I58" s="6">
        <v>9</v>
      </c>
      <c r="J58" s="7">
        <v>3000</v>
      </c>
      <c r="K58" s="7"/>
      <c r="L58" s="6">
        <v>0</v>
      </c>
      <c r="M58" s="6">
        <v>0</v>
      </c>
      <c r="N58" s="6">
        <v>9</v>
      </c>
      <c r="O58" s="6">
        <v>8</v>
      </c>
      <c r="P58" s="15" t="s">
        <v>81</v>
      </c>
      <c r="Q58" s="10">
        <v>10800</v>
      </c>
    </row>
    <row r="59" spans="1:17" ht="23.1" customHeight="1" x14ac:dyDescent="0.25">
      <c r="A59" s="15" t="s">
        <v>146</v>
      </c>
      <c r="B59" s="5" t="s">
        <v>147</v>
      </c>
      <c r="C59" s="5" t="s">
        <v>52</v>
      </c>
      <c r="D59" s="17" t="s">
        <v>59</v>
      </c>
      <c r="E59" s="26"/>
      <c r="F59" s="7">
        <v>3200</v>
      </c>
      <c r="G59" s="7">
        <v>8000</v>
      </c>
      <c r="H59" s="16">
        <v>1.5</v>
      </c>
      <c r="I59" s="6">
        <v>5</v>
      </c>
      <c r="J59" s="7">
        <v>6000</v>
      </c>
      <c r="K59" s="7"/>
      <c r="L59" s="6">
        <v>0</v>
      </c>
      <c r="M59" s="6">
        <v>0</v>
      </c>
      <c r="N59" s="6">
        <v>5</v>
      </c>
      <c r="O59" s="6">
        <v>8</v>
      </c>
      <c r="P59" s="15" t="s">
        <v>76</v>
      </c>
      <c r="Q59" s="10">
        <v>16000</v>
      </c>
    </row>
    <row r="60" spans="1:17" ht="23.1" customHeight="1" x14ac:dyDescent="0.25">
      <c r="A60" s="15" t="s">
        <v>146</v>
      </c>
      <c r="B60" s="5" t="s">
        <v>148</v>
      </c>
      <c r="C60" s="5" t="s">
        <v>52</v>
      </c>
      <c r="D60" s="17" t="s">
        <v>59</v>
      </c>
      <c r="E60" s="26"/>
      <c r="F60" s="7">
        <v>3200</v>
      </c>
      <c r="G60" s="7">
        <v>8000</v>
      </c>
      <c r="H60" s="16">
        <v>1.5</v>
      </c>
      <c r="I60" s="6">
        <v>5</v>
      </c>
      <c r="J60" s="7">
        <v>6000</v>
      </c>
      <c r="K60" s="7"/>
      <c r="L60" s="6">
        <v>0</v>
      </c>
      <c r="M60" s="6">
        <v>0</v>
      </c>
      <c r="N60" s="6">
        <v>5</v>
      </c>
      <c r="O60" s="6">
        <v>8</v>
      </c>
      <c r="P60" s="15" t="s">
        <v>76</v>
      </c>
      <c r="Q60" s="10">
        <v>16000</v>
      </c>
    </row>
    <row r="61" spans="1:17" ht="23.1" customHeight="1" x14ac:dyDescent="0.25">
      <c r="A61" s="15" t="s">
        <v>146</v>
      </c>
      <c r="B61" s="5" t="s">
        <v>149</v>
      </c>
      <c r="C61" s="5" t="s">
        <v>52</v>
      </c>
      <c r="D61" s="17" t="s">
        <v>59</v>
      </c>
      <c r="E61" s="26"/>
      <c r="F61" s="7">
        <v>3200</v>
      </c>
      <c r="G61" s="7">
        <v>8000</v>
      </c>
      <c r="H61" s="16">
        <v>1.5</v>
      </c>
      <c r="I61" s="6">
        <v>5</v>
      </c>
      <c r="J61" s="7">
        <v>6000</v>
      </c>
      <c r="K61" s="7"/>
      <c r="L61" s="6">
        <v>0</v>
      </c>
      <c r="M61" s="6">
        <v>0</v>
      </c>
      <c r="N61" s="6">
        <v>5</v>
      </c>
      <c r="O61" s="6">
        <v>8</v>
      </c>
      <c r="P61" s="15" t="s">
        <v>76</v>
      </c>
      <c r="Q61" s="10">
        <v>16000</v>
      </c>
    </row>
    <row r="62" spans="1:17" ht="23.1" customHeight="1" x14ac:dyDescent="0.25">
      <c r="A62" s="15" t="s">
        <v>92</v>
      </c>
      <c r="B62" s="5" t="s">
        <v>150</v>
      </c>
      <c r="C62" s="5" t="s">
        <v>54</v>
      </c>
      <c r="D62" s="15" t="s">
        <v>151</v>
      </c>
      <c r="E62" s="26"/>
      <c r="F62" s="7">
        <v>1300</v>
      </c>
      <c r="G62" s="7">
        <v>1500</v>
      </c>
      <c r="H62" s="16">
        <v>0.15384615384615391</v>
      </c>
      <c r="I62" s="6">
        <v>2</v>
      </c>
      <c r="J62" s="7">
        <v>1500</v>
      </c>
      <c r="K62" s="7"/>
      <c r="L62" s="6">
        <v>0</v>
      </c>
      <c r="M62" s="6">
        <v>0</v>
      </c>
      <c r="N62" s="6">
        <v>2</v>
      </c>
      <c r="O62" s="6">
        <v>8</v>
      </c>
      <c r="P62" s="15" t="s">
        <v>76</v>
      </c>
      <c r="Q62" s="10">
        <v>2600</v>
      </c>
    </row>
    <row r="63" spans="1:17" ht="23.1" customHeight="1" x14ac:dyDescent="0.25">
      <c r="A63" s="15" t="s">
        <v>92</v>
      </c>
      <c r="B63" s="5" t="s">
        <v>152</v>
      </c>
      <c r="C63" s="5" t="s">
        <v>54</v>
      </c>
      <c r="D63" s="15" t="s">
        <v>151</v>
      </c>
      <c r="E63" s="26"/>
      <c r="F63" s="7">
        <v>450</v>
      </c>
      <c r="G63" s="7">
        <v>500</v>
      </c>
      <c r="H63" s="16">
        <v>0.1111111111111111</v>
      </c>
      <c r="I63" s="6">
        <v>25</v>
      </c>
      <c r="J63" s="7">
        <v>5000</v>
      </c>
      <c r="K63" s="7"/>
      <c r="L63" s="6">
        <v>0</v>
      </c>
      <c r="M63" s="6">
        <v>0</v>
      </c>
      <c r="N63" s="6">
        <v>25</v>
      </c>
      <c r="O63" s="6">
        <v>8</v>
      </c>
      <c r="P63" s="15" t="s">
        <v>81</v>
      </c>
      <c r="Q63" s="10">
        <v>11250</v>
      </c>
    </row>
    <row r="64" spans="1:17" ht="23.1" customHeight="1" x14ac:dyDescent="0.25">
      <c r="A64" s="15" t="s">
        <v>92</v>
      </c>
      <c r="B64" s="5" t="s">
        <v>153</v>
      </c>
      <c r="C64" s="5" t="s">
        <v>54</v>
      </c>
      <c r="D64" s="15" t="s">
        <v>151</v>
      </c>
      <c r="E64" s="26"/>
      <c r="F64" s="7">
        <v>1750</v>
      </c>
      <c r="G64" s="7">
        <v>2500</v>
      </c>
      <c r="H64" s="16">
        <v>0.42857142857142849</v>
      </c>
      <c r="I64" s="6"/>
      <c r="J64" s="7">
        <v>2500</v>
      </c>
      <c r="K64" s="7"/>
      <c r="L64" s="6">
        <v>0</v>
      </c>
      <c r="M64" s="6">
        <v>0</v>
      </c>
      <c r="N64" s="6">
        <v>0</v>
      </c>
      <c r="O64" s="6">
        <v>8</v>
      </c>
      <c r="P64" s="15" t="s">
        <v>76</v>
      </c>
      <c r="Q64" s="10">
        <v>0</v>
      </c>
    </row>
    <row r="65" spans="1:17" ht="23.1" customHeight="1" x14ac:dyDescent="0.25">
      <c r="A65" s="15" t="s">
        <v>154</v>
      </c>
      <c r="B65" s="5" t="s">
        <v>155</v>
      </c>
      <c r="C65" s="5" t="s">
        <v>50</v>
      </c>
      <c r="D65" s="15" t="s">
        <v>84</v>
      </c>
      <c r="E65" s="26"/>
      <c r="F65" s="7">
        <v>660</v>
      </c>
      <c r="G65" s="7">
        <v>1000</v>
      </c>
      <c r="H65" s="16">
        <v>0.51515151515151514</v>
      </c>
      <c r="I65" s="6">
        <v>10</v>
      </c>
      <c r="J65" s="7">
        <v>1000</v>
      </c>
      <c r="K65" s="7"/>
      <c r="L65" s="6">
        <v>0</v>
      </c>
      <c r="M65" s="6">
        <v>0</v>
      </c>
      <c r="N65" s="6">
        <v>10</v>
      </c>
      <c r="O65" s="6">
        <v>8</v>
      </c>
      <c r="P65" s="15" t="s">
        <v>81</v>
      </c>
      <c r="Q65" s="10">
        <v>6600</v>
      </c>
    </row>
    <row r="66" spans="1:17" ht="23.1" customHeight="1" x14ac:dyDescent="0.25">
      <c r="A66" s="15" t="s">
        <v>92</v>
      </c>
      <c r="B66" s="5" t="s">
        <v>156</v>
      </c>
      <c r="C66" s="5" t="s">
        <v>54</v>
      </c>
      <c r="D66" s="15" t="s">
        <v>84</v>
      </c>
      <c r="E66" s="26"/>
      <c r="F66" s="7">
        <v>7500</v>
      </c>
      <c r="G66" s="7">
        <v>8000</v>
      </c>
      <c r="H66" s="16">
        <v>6.6666666666666666E-2</v>
      </c>
      <c r="I66" s="6">
        <v>1</v>
      </c>
      <c r="J66" s="7">
        <v>8000</v>
      </c>
      <c r="K66" s="7"/>
      <c r="L66" s="6">
        <v>0</v>
      </c>
      <c r="M66" s="6">
        <v>0</v>
      </c>
      <c r="N66" s="6">
        <v>1</v>
      </c>
      <c r="O66" s="6">
        <v>8</v>
      </c>
      <c r="P66" s="15" t="s">
        <v>76</v>
      </c>
      <c r="Q66" s="10">
        <v>7500</v>
      </c>
    </row>
    <row r="67" spans="1:17" ht="23.1" customHeight="1" x14ac:dyDescent="0.25">
      <c r="A67" s="15" t="s">
        <v>91</v>
      </c>
      <c r="B67" s="5" t="s">
        <v>157</v>
      </c>
      <c r="C67" s="5" t="s">
        <v>52</v>
      </c>
      <c r="D67" s="17" t="s">
        <v>59</v>
      </c>
      <c r="E67" s="26"/>
      <c r="F67" s="7">
        <v>500</v>
      </c>
      <c r="G67" s="7">
        <v>1000</v>
      </c>
      <c r="H67" s="16">
        <v>1</v>
      </c>
      <c r="I67" s="6">
        <v>3</v>
      </c>
      <c r="J67" s="7">
        <v>10000</v>
      </c>
      <c r="K67" s="7"/>
      <c r="L67" s="6">
        <v>0</v>
      </c>
      <c r="M67" s="6">
        <v>0</v>
      </c>
      <c r="N67" s="6">
        <v>3</v>
      </c>
      <c r="O67" s="6">
        <v>8</v>
      </c>
      <c r="P67" s="15" t="s">
        <v>76</v>
      </c>
      <c r="Q67" s="10">
        <v>1500</v>
      </c>
    </row>
    <row r="68" spans="1:17" ht="23.1" customHeight="1" x14ac:dyDescent="0.25">
      <c r="A68" s="15" t="s">
        <v>158</v>
      </c>
      <c r="B68" s="5" t="s">
        <v>159</v>
      </c>
      <c r="C68" s="5" t="s">
        <v>52</v>
      </c>
      <c r="D68" s="17" t="s">
        <v>59</v>
      </c>
      <c r="E68" s="26"/>
      <c r="F68" s="7">
        <v>500</v>
      </c>
      <c r="G68" s="7">
        <v>1000</v>
      </c>
      <c r="H68" s="16">
        <v>1</v>
      </c>
      <c r="I68" s="6">
        <v>5</v>
      </c>
      <c r="J68" s="7"/>
      <c r="K68" s="7"/>
      <c r="L68" s="6">
        <v>0</v>
      </c>
      <c r="M68" s="6">
        <v>0</v>
      </c>
      <c r="N68" s="6">
        <v>5</v>
      </c>
      <c r="O68" s="6">
        <v>8</v>
      </c>
      <c r="P68" s="15" t="s">
        <v>76</v>
      </c>
      <c r="Q68" s="10">
        <v>2500</v>
      </c>
    </row>
    <row r="69" spans="1:17" ht="23.1" customHeight="1" x14ac:dyDescent="0.25">
      <c r="A69" s="15" t="s">
        <v>158</v>
      </c>
      <c r="B69" s="5" t="s">
        <v>160</v>
      </c>
      <c r="C69" s="5" t="s">
        <v>52</v>
      </c>
      <c r="D69" s="17" t="s">
        <v>59</v>
      </c>
      <c r="E69" s="26"/>
      <c r="F69" s="7">
        <v>1200</v>
      </c>
      <c r="G69" s="7">
        <v>2500</v>
      </c>
      <c r="H69" s="16">
        <v>1.083333333333333</v>
      </c>
      <c r="I69" s="6">
        <v>5</v>
      </c>
      <c r="J69" s="7">
        <v>2000</v>
      </c>
      <c r="K69" s="7"/>
      <c r="L69" s="6">
        <v>0</v>
      </c>
      <c r="M69" s="6">
        <v>0</v>
      </c>
      <c r="N69" s="6">
        <v>5</v>
      </c>
      <c r="O69" s="6">
        <v>8</v>
      </c>
      <c r="P69" s="15" t="s">
        <v>76</v>
      </c>
      <c r="Q69" s="10">
        <v>6000</v>
      </c>
    </row>
    <row r="70" spans="1:17" ht="23.1" customHeight="1" x14ac:dyDescent="0.25">
      <c r="A70" s="15" t="s">
        <v>92</v>
      </c>
      <c r="B70" s="5" t="s">
        <v>161</v>
      </c>
      <c r="C70" s="5" t="s">
        <v>54</v>
      </c>
      <c r="D70" s="15" t="s">
        <v>151</v>
      </c>
      <c r="E70" s="26"/>
      <c r="F70" s="7">
        <v>7500</v>
      </c>
      <c r="G70" s="7">
        <v>8000</v>
      </c>
      <c r="H70" s="16">
        <v>6.6666666666666666E-2</v>
      </c>
      <c r="I70" s="6"/>
      <c r="J70" s="7">
        <v>8000</v>
      </c>
      <c r="K70" s="7"/>
      <c r="L70" s="6">
        <v>0</v>
      </c>
      <c r="M70" s="6">
        <v>0</v>
      </c>
      <c r="N70" s="6">
        <v>0</v>
      </c>
      <c r="O70" s="6">
        <v>8</v>
      </c>
      <c r="P70" s="15" t="s">
        <v>76</v>
      </c>
      <c r="Q70" s="10">
        <v>0</v>
      </c>
    </row>
    <row r="71" spans="1:17" ht="23.1" customHeight="1" x14ac:dyDescent="0.25">
      <c r="A71" s="15" t="s">
        <v>162</v>
      </c>
      <c r="B71" s="5" t="s">
        <v>163</v>
      </c>
      <c r="C71" s="5" t="s">
        <v>52</v>
      </c>
      <c r="D71" s="17" t="s">
        <v>59</v>
      </c>
      <c r="E71" s="26"/>
      <c r="F71" s="7">
        <v>7500</v>
      </c>
      <c r="G71" s="7">
        <v>15000</v>
      </c>
      <c r="H71" s="16">
        <v>1</v>
      </c>
      <c r="I71" s="6">
        <v>2</v>
      </c>
      <c r="J71" s="7">
        <v>12000</v>
      </c>
      <c r="K71" s="7"/>
      <c r="L71" s="6">
        <v>0</v>
      </c>
      <c r="M71" s="6">
        <v>0</v>
      </c>
      <c r="N71" s="6">
        <v>2</v>
      </c>
      <c r="O71" s="6">
        <v>8</v>
      </c>
      <c r="P71" s="15" t="s">
        <v>76</v>
      </c>
      <c r="Q71" s="10">
        <v>15000</v>
      </c>
    </row>
    <row r="72" spans="1:17" ht="23.1" customHeight="1" x14ac:dyDescent="0.25">
      <c r="A72" s="15" t="s">
        <v>162</v>
      </c>
      <c r="B72" s="5" t="s">
        <v>164</v>
      </c>
      <c r="C72" s="5" t="s">
        <v>52</v>
      </c>
      <c r="D72" s="17" t="s">
        <v>59</v>
      </c>
      <c r="E72" s="26"/>
      <c r="F72" s="7">
        <v>6500</v>
      </c>
      <c r="G72" s="7">
        <v>15000</v>
      </c>
      <c r="H72" s="16">
        <v>1.3076923076923079</v>
      </c>
      <c r="I72" s="6">
        <v>1</v>
      </c>
      <c r="J72" s="7">
        <v>12000</v>
      </c>
      <c r="K72" s="7"/>
      <c r="L72" s="6">
        <v>0</v>
      </c>
      <c r="M72" s="6">
        <v>0</v>
      </c>
      <c r="N72" s="6">
        <v>1</v>
      </c>
      <c r="O72" s="6">
        <v>8</v>
      </c>
      <c r="P72" s="15" t="s">
        <v>76</v>
      </c>
      <c r="Q72" s="10">
        <v>6500</v>
      </c>
    </row>
    <row r="73" spans="1:17" ht="23.1" customHeight="1" x14ac:dyDescent="0.25">
      <c r="A73" s="15" t="s">
        <v>162</v>
      </c>
      <c r="B73" s="5" t="s">
        <v>165</v>
      </c>
      <c r="C73" s="5" t="s">
        <v>52</v>
      </c>
      <c r="D73" s="17" t="s">
        <v>59</v>
      </c>
      <c r="E73" s="26"/>
      <c r="F73" s="7">
        <v>17500</v>
      </c>
      <c r="G73" s="7">
        <v>30000</v>
      </c>
      <c r="H73" s="16">
        <v>0.7142857142857143</v>
      </c>
      <c r="I73" s="6">
        <v>1</v>
      </c>
      <c r="J73" s="7">
        <v>25000</v>
      </c>
      <c r="K73" s="7"/>
      <c r="L73" s="6">
        <v>0</v>
      </c>
      <c r="M73" s="6">
        <v>0</v>
      </c>
      <c r="N73" s="6">
        <v>1</v>
      </c>
      <c r="O73" s="6">
        <v>8</v>
      </c>
      <c r="P73" s="15" t="s">
        <v>76</v>
      </c>
      <c r="Q73" s="10">
        <v>17500</v>
      </c>
    </row>
    <row r="74" spans="1:17" ht="23.1" customHeight="1" x14ac:dyDescent="0.25">
      <c r="A74" s="15" t="s">
        <v>162</v>
      </c>
      <c r="B74" s="5" t="s">
        <v>166</v>
      </c>
      <c r="C74" s="5" t="s">
        <v>52</v>
      </c>
      <c r="D74" s="17" t="s">
        <v>59</v>
      </c>
      <c r="E74" s="26"/>
      <c r="F74" s="7">
        <v>18000</v>
      </c>
      <c r="G74" s="7">
        <v>30000</v>
      </c>
      <c r="H74" s="16">
        <v>0.66666666666666663</v>
      </c>
      <c r="I74" s="6">
        <v>1</v>
      </c>
      <c r="J74" s="7">
        <v>25000</v>
      </c>
      <c r="K74" s="7"/>
      <c r="L74" s="6">
        <v>0</v>
      </c>
      <c r="M74" s="6">
        <v>0</v>
      </c>
      <c r="N74" s="6">
        <v>1</v>
      </c>
      <c r="O74" s="6">
        <v>8</v>
      </c>
      <c r="P74" s="15" t="s">
        <v>76</v>
      </c>
      <c r="Q74" s="10">
        <v>18000</v>
      </c>
    </row>
    <row r="75" spans="1:17" ht="23.1" customHeight="1" x14ac:dyDescent="0.25">
      <c r="A75" s="15" t="s">
        <v>162</v>
      </c>
      <c r="B75" s="5" t="s">
        <v>167</v>
      </c>
      <c r="C75" s="5" t="s">
        <v>52</v>
      </c>
      <c r="D75" s="17" t="s">
        <v>59</v>
      </c>
      <c r="E75" s="26"/>
      <c r="F75" s="7">
        <v>20000</v>
      </c>
      <c r="G75" s="7">
        <v>35000</v>
      </c>
      <c r="H75" s="16">
        <v>0.75</v>
      </c>
      <c r="I75" s="6">
        <v>1</v>
      </c>
      <c r="J75" s="7">
        <v>30000</v>
      </c>
      <c r="K75" s="7"/>
      <c r="L75" s="6">
        <v>0</v>
      </c>
      <c r="M75" s="6">
        <v>0</v>
      </c>
      <c r="N75" s="6">
        <v>1</v>
      </c>
      <c r="O75" s="6">
        <v>8</v>
      </c>
      <c r="P75" s="15" t="s">
        <v>76</v>
      </c>
      <c r="Q75" s="10">
        <v>20000</v>
      </c>
    </row>
    <row r="76" spans="1:17" ht="23.1" customHeight="1" x14ac:dyDescent="0.25">
      <c r="A76" s="15" t="s">
        <v>162</v>
      </c>
      <c r="B76" s="5" t="s">
        <v>168</v>
      </c>
      <c r="C76" s="5" t="s">
        <v>52</v>
      </c>
      <c r="D76" s="17" t="s">
        <v>59</v>
      </c>
      <c r="E76" s="26"/>
      <c r="F76" s="7">
        <v>7500</v>
      </c>
      <c r="G76" s="7">
        <v>12000</v>
      </c>
      <c r="H76" s="16">
        <v>0.6</v>
      </c>
      <c r="I76" s="6">
        <v>1</v>
      </c>
      <c r="J76" s="7">
        <v>10000</v>
      </c>
      <c r="K76" s="7"/>
      <c r="L76" s="6">
        <v>0</v>
      </c>
      <c r="M76" s="6">
        <v>0</v>
      </c>
      <c r="N76" s="6">
        <v>1</v>
      </c>
      <c r="O76" s="6">
        <v>8</v>
      </c>
      <c r="P76" s="15" t="s">
        <v>76</v>
      </c>
      <c r="Q76" s="10">
        <v>7500</v>
      </c>
    </row>
    <row r="77" spans="1:17" ht="23.1" customHeight="1" x14ac:dyDescent="0.25">
      <c r="A77" s="15" t="s">
        <v>162</v>
      </c>
      <c r="B77" s="5" t="s">
        <v>169</v>
      </c>
      <c r="C77" s="5" t="s">
        <v>52</v>
      </c>
      <c r="D77" s="17" t="s">
        <v>59</v>
      </c>
      <c r="E77" s="26"/>
      <c r="F77" s="7">
        <v>12000</v>
      </c>
      <c r="G77" s="7">
        <v>20000</v>
      </c>
      <c r="H77" s="16">
        <v>0.66666666666666663</v>
      </c>
      <c r="I77" s="6">
        <v>1</v>
      </c>
      <c r="J77" s="7">
        <v>18000</v>
      </c>
      <c r="K77" s="7"/>
      <c r="L77" s="6">
        <v>0</v>
      </c>
      <c r="M77" s="6">
        <v>0</v>
      </c>
      <c r="N77" s="6">
        <v>1</v>
      </c>
      <c r="O77" s="6">
        <v>8</v>
      </c>
      <c r="P77" s="15" t="s">
        <v>76</v>
      </c>
      <c r="Q77" s="10">
        <v>12000</v>
      </c>
    </row>
    <row r="78" spans="1:17" ht="23.1" customHeight="1" x14ac:dyDescent="0.25">
      <c r="A78" s="15" t="s">
        <v>162</v>
      </c>
      <c r="B78" s="5" t="s">
        <v>170</v>
      </c>
      <c r="C78" s="5" t="s">
        <v>52</v>
      </c>
      <c r="D78" s="17" t="s">
        <v>59</v>
      </c>
      <c r="E78" s="26"/>
      <c r="F78" s="7">
        <v>13500</v>
      </c>
      <c r="G78" s="7">
        <v>20000</v>
      </c>
      <c r="H78" s="16">
        <v>0.48148148148148151</v>
      </c>
      <c r="I78" s="6">
        <v>1</v>
      </c>
      <c r="J78" s="7">
        <v>18000</v>
      </c>
      <c r="K78" s="7"/>
      <c r="L78" s="6">
        <v>0</v>
      </c>
      <c r="M78" s="6">
        <v>0</v>
      </c>
      <c r="N78" s="6">
        <v>1</v>
      </c>
      <c r="O78" s="6">
        <v>8</v>
      </c>
      <c r="P78" s="15" t="s">
        <v>76</v>
      </c>
      <c r="Q78" s="10">
        <v>13500</v>
      </c>
    </row>
    <row r="79" spans="1:17" ht="23.1" customHeight="1" x14ac:dyDescent="0.25">
      <c r="A79" s="15" t="s">
        <v>162</v>
      </c>
      <c r="B79" s="5" t="s">
        <v>122</v>
      </c>
      <c r="C79" s="5" t="s">
        <v>52</v>
      </c>
      <c r="D79" s="17" t="s">
        <v>59</v>
      </c>
      <c r="E79" s="26"/>
      <c r="F79" s="7">
        <v>2800</v>
      </c>
      <c r="G79" s="7">
        <v>3500</v>
      </c>
      <c r="H79" s="16">
        <v>0.25</v>
      </c>
      <c r="I79" s="6"/>
      <c r="J79" s="7">
        <v>3500</v>
      </c>
      <c r="K79" s="7"/>
      <c r="L79" s="6">
        <v>0</v>
      </c>
      <c r="M79" s="6">
        <v>0</v>
      </c>
      <c r="N79" s="6">
        <v>0</v>
      </c>
      <c r="O79" s="6">
        <v>8</v>
      </c>
      <c r="P79" s="15" t="s">
        <v>76</v>
      </c>
      <c r="Q79" s="10">
        <v>0</v>
      </c>
    </row>
    <row r="80" spans="1:17" ht="23.1" customHeight="1" x14ac:dyDescent="0.25">
      <c r="A80" s="15" t="s">
        <v>162</v>
      </c>
      <c r="B80" s="5" t="s">
        <v>171</v>
      </c>
      <c r="C80" s="5" t="s">
        <v>52</v>
      </c>
      <c r="D80" s="17" t="s">
        <v>59</v>
      </c>
      <c r="E80" s="26"/>
      <c r="F80" s="7">
        <v>3800</v>
      </c>
      <c r="G80" s="7">
        <v>5500</v>
      </c>
      <c r="H80" s="16">
        <v>0.44736842105263158</v>
      </c>
      <c r="I80" s="6">
        <v>1</v>
      </c>
      <c r="J80" s="7">
        <v>4500</v>
      </c>
      <c r="K80" s="7"/>
      <c r="L80" s="6">
        <v>0</v>
      </c>
      <c r="M80" s="6">
        <v>0</v>
      </c>
      <c r="N80" s="6">
        <v>1</v>
      </c>
      <c r="O80" s="6">
        <v>8</v>
      </c>
      <c r="P80" s="15" t="s">
        <v>76</v>
      </c>
      <c r="Q80" s="10">
        <v>3800</v>
      </c>
    </row>
    <row r="81" spans="1:17" ht="23.1" customHeight="1" x14ac:dyDescent="0.25">
      <c r="A81" s="15" t="s">
        <v>162</v>
      </c>
      <c r="B81" s="5" t="s">
        <v>172</v>
      </c>
      <c r="C81" s="5" t="s">
        <v>52</v>
      </c>
      <c r="D81" s="17" t="s">
        <v>59</v>
      </c>
      <c r="E81" s="26"/>
      <c r="F81" s="7">
        <v>1800</v>
      </c>
      <c r="G81" s="7">
        <v>3500</v>
      </c>
      <c r="H81" s="16">
        <v>0.94444444444444442</v>
      </c>
      <c r="I81" s="6">
        <v>1</v>
      </c>
      <c r="J81" s="7">
        <v>3000</v>
      </c>
      <c r="K81" s="7"/>
      <c r="L81" s="6">
        <v>0</v>
      </c>
      <c r="M81" s="6">
        <v>0</v>
      </c>
      <c r="N81" s="6">
        <v>1</v>
      </c>
      <c r="O81" s="6">
        <v>8</v>
      </c>
      <c r="P81" s="15" t="s">
        <v>76</v>
      </c>
      <c r="Q81" s="10">
        <v>1800</v>
      </c>
    </row>
    <row r="82" spans="1:17" ht="23.1" customHeight="1" x14ac:dyDescent="0.25">
      <c r="A82" s="15" t="s">
        <v>162</v>
      </c>
      <c r="B82" s="5" t="s">
        <v>173</v>
      </c>
      <c r="C82" s="5" t="s">
        <v>52</v>
      </c>
      <c r="D82" s="17" t="s">
        <v>59</v>
      </c>
      <c r="E82" s="26"/>
      <c r="F82" s="7">
        <v>3800</v>
      </c>
      <c r="G82" s="7">
        <v>6000</v>
      </c>
      <c r="H82" s="16">
        <v>0.57894736842105265</v>
      </c>
      <c r="I82" s="6"/>
      <c r="J82" s="7">
        <v>5000</v>
      </c>
      <c r="K82" s="7"/>
      <c r="L82" s="6">
        <v>0</v>
      </c>
      <c r="M82" s="6">
        <v>0</v>
      </c>
      <c r="N82" s="6">
        <v>0</v>
      </c>
      <c r="O82" s="6">
        <v>8</v>
      </c>
      <c r="P82" s="15" t="s">
        <v>76</v>
      </c>
      <c r="Q82" s="10">
        <v>0</v>
      </c>
    </row>
    <row r="83" spans="1:17" ht="23.1" customHeight="1" x14ac:dyDescent="0.25">
      <c r="A83" s="15" t="s">
        <v>162</v>
      </c>
      <c r="B83" s="5" t="s">
        <v>174</v>
      </c>
      <c r="C83" s="5" t="s">
        <v>52</v>
      </c>
      <c r="D83" s="17" t="s">
        <v>59</v>
      </c>
      <c r="E83" s="26"/>
      <c r="F83" s="7">
        <v>5500</v>
      </c>
      <c r="G83" s="7">
        <v>10000</v>
      </c>
      <c r="H83" s="16">
        <v>0.81818181818181823</v>
      </c>
      <c r="I83" s="6"/>
      <c r="J83" s="7">
        <v>8000</v>
      </c>
      <c r="K83" s="7"/>
      <c r="L83" s="6">
        <v>0</v>
      </c>
      <c r="M83" s="6">
        <v>0</v>
      </c>
      <c r="N83" s="6">
        <v>0</v>
      </c>
      <c r="O83" s="6">
        <v>8</v>
      </c>
      <c r="P83" s="15" t="s">
        <v>76</v>
      </c>
      <c r="Q83" s="10">
        <v>0</v>
      </c>
    </row>
    <row r="84" spans="1:17" ht="23.1" customHeight="1" x14ac:dyDescent="0.25">
      <c r="A84" s="15" t="s">
        <v>162</v>
      </c>
      <c r="B84" s="5" t="s">
        <v>175</v>
      </c>
      <c r="C84" s="5" t="s">
        <v>52</v>
      </c>
      <c r="D84" s="17" t="s">
        <v>59</v>
      </c>
      <c r="E84" s="26"/>
      <c r="F84" s="7">
        <v>8000</v>
      </c>
      <c r="G84" s="7">
        <v>12000</v>
      </c>
      <c r="H84" s="16">
        <v>0.5</v>
      </c>
      <c r="I84" s="6"/>
      <c r="J84" s="7">
        <v>12000</v>
      </c>
      <c r="K84" s="7"/>
      <c r="L84" s="6">
        <v>0</v>
      </c>
      <c r="M84" s="6">
        <v>0</v>
      </c>
      <c r="N84" s="6">
        <v>0</v>
      </c>
      <c r="O84" s="6">
        <v>8</v>
      </c>
      <c r="P84" s="15" t="s">
        <v>76</v>
      </c>
      <c r="Q84" s="10">
        <v>0</v>
      </c>
    </row>
    <row r="85" spans="1:17" ht="23.1" customHeight="1" x14ac:dyDescent="0.25">
      <c r="A85" s="15" t="s">
        <v>162</v>
      </c>
      <c r="B85" s="5" t="s">
        <v>176</v>
      </c>
      <c r="C85" s="5" t="s">
        <v>52</v>
      </c>
      <c r="D85" s="17" t="s">
        <v>59</v>
      </c>
      <c r="E85" s="26"/>
      <c r="F85" s="7">
        <v>11000</v>
      </c>
      <c r="G85" s="7">
        <v>20000</v>
      </c>
      <c r="H85" s="16">
        <v>0.81818181818181823</v>
      </c>
      <c r="I85" s="6"/>
      <c r="J85" s="7">
        <v>15000</v>
      </c>
      <c r="K85" s="7"/>
      <c r="L85" s="6">
        <v>0</v>
      </c>
      <c r="M85" s="6">
        <v>0</v>
      </c>
      <c r="N85" s="6">
        <v>0</v>
      </c>
      <c r="O85" s="6">
        <v>8</v>
      </c>
      <c r="P85" s="15" t="s">
        <v>76</v>
      </c>
      <c r="Q85" s="10">
        <v>0</v>
      </c>
    </row>
    <row r="86" spans="1:17" ht="23.1" customHeight="1" x14ac:dyDescent="0.25">
      <c r="A86" s="15" t="s">
        <v>162</v>
      </c>
      <c r="B86" s="5" t="s">
        <v>177</v>
      </c>
      <c r="C86" s="5" t="s">
        <v>54</v>
      </c>
      <c r="D86" s="17" t="s">
        <v>59</v>
      </c>
      <c r="E86" s="26"/>
      <c r="F86" s="7">
        <v>5000</v>
      </c>
      <c r="G86" s="7">
        <v>10000</v>
      </c>
      <c r="H86" s="16">
        <v>1</v>
      </c>
      <c r="I86" s="6"/>
      <c r="J86" s="7">
        <v>8000</v>
      </c>
      <c r="K86" s="7"/>
      <c r="L86" s="6">
        <v>0</v>
      </c>
      <c r="M86" s="6">
        <v>0</v>
      </c>
      <c r="N86" s="6">
        <v>0</v>
      </c>
      <c r="O86" s="6">
        <v>8</v>
      </c>
      <c r="P86" s="15" t="s">
        <v>76</v>
      </c>
      <c r="Q86" s="10">
        <v>0</v>
      </c>
    </row>
    <row r="87" spans="1:17" ht="23.1" customHeight="1" x14ac:dyDescent="0.25">
      <c r="A87" s="15" t="s">
        <v>178</v>
      </c>
      <c r="B87" s="5" t="s">
        <v>179</v>
      </c>
      <c r="C87" s="5" t="s">
        <v>50</v>
      </c>
      <c r="D87" s="17" t="s">
        <v>59</v>
      </c>
      <c r="E87" s="26"/>
      <c r="F87" s="7">
        <v>3250</v>
      </c>
      <c r="G87" s="7">
        <v>5000</v>
      </c>
      <c r="H87" s="16">
        <v>0.53846153846153844</v>
      </c>
      <c r="I87" s="6">
        <v>5</v>
      </c>
      <c r="J87" s="7">
        <v>4000</v>
      </c>
      <c r="K87" s="7"/>
      <c r="L87" s="6">
        <v>0</v>
      </c>
      <c r="M87" s="6">
        <v>0</v>
      </c>
      <c r="N87" s="6">
        <v>5</v>
      </c>
      <c r="O87" s="6">
        <v>8</v>
      </c>
      <c r="P87" s="15" t="s">
        <v>76</v>
      </c>
      <c r="Q87" s="10">
        <v>16250</v>
      </c>
    </row>
    <row r="88" spans="1:17" ht="23.1" customHeight="1" x14ac:dyDescent="0.25">
      <c r="A88" s="15" t="s">
        <v>158</v>
      </c>
      <c r="B88" s="5" t="s">
        <v>180</v>
      </c>
      <c r="C88" s="5" t="s">
        <v>52</v>
      </c>
      <c r="D88" s="17" t="s">
        <v>59</v>
      </c>
      <c r="E88" s="26"/>
      <c r="F88" s="7">
        <v>100</v>
      </c>
      <c r="G88" s="7">
        <v>500</v>
      </c>
      <c r="H88" s="16">
        <v>4</v>
      </c>
      <c r="I88" s="6">
        <v>20</v>
      </c>
      <c r="J88" s="7">
        <v>400</v>
      </c>
      <c r="K88" s="7"/>
      <c r="L88" s="6">
        <v>0</v>
      </c>
      <c r="M88" s="6">
        <v>0</v>
      </c>
      <c r="N88" s="6">
        <v>20</v>
      </c>
      <c r="O88" s="6">
        <v>8</v>
      </c>
      <c r="P88" s="15" t="s">
        <v>81</v>
      </c>
      <c r="Q88" s="10">
        <v>2000</v>
      </c>
    </row>
    <row r="89" spans="1:17" x14ac:dyDescent="0.25">
      <c r="A89" s="15" t="s">
        <v>158</v>
      </c>
      <c r="B89" s="5" t="s">
        <v>181</v>
      </c>
      <c r="C89" s="5" t="s">
        <v>52</v>
      </c>
      <c r="D89" s="17" t="s">
        <v>59</v>
      </c>
      <c r="E89" s="26"/>
      <c r="F89" s="7">
        <v>75</v>
      </c>
      <c r="G89" s="7">
        <v>300</v>
      </c>
      <c r="H89" s="16">
        <v>3</v>
      </c>
      <c r="I89" s="6">
        <v>40</v>
      </c>
      <c r="J89" s="7">
        <v>200</v>
      </c>
      <c r="K89" s="7"/>
      <c r="L89" s="6">
        <v>0</v>
      </c>
      <c r="M89" s="6">
        <v>0</v>
      </c>
      <c r="N89" s="6">
        <v>40</v>
      </c>
      <c r="O89" s="9">
        <v>200</v>
      </c>
      <c r="P89" s="15" t="s">
        <v>76</v>
      </c>
      <c r="Q89" s="10">
        <v>3000</v>
      </c>
    </row>
    <row r="90" spans="1:17" x14ac:dyDescent="0.25">
      <c r="A90" s="15" t="s">
        <v>91</v>
      </c>
      <c r="B90" s="5" t="s">
        <v>182</v>
      </c>
      <c r="C90" s="5" t="s">
        <v>52</v>
      </c>
      <c r="D90" s="17" t="s">
        <v>59</v>
      </c>
      <c r="E90" s="26"/>
      <c r="F90" s="7">
        <v>200</v>
      </c>
      <c r="G90" s="7">
        <v>500</v>
      </c>
      <c r="H90" s="16">
        <v>1.5</v>
      </c>
      <c r="I90" s="6"/>
      <c r="J90" s="7"/>
      <c r="K90" s="7"/>
      <c r="L90" s="6">
        <v>0</v>
      </c>
      <c r="M90" s="6">
        <v>0</v>
      </c>
      <c r="N90" s="6">
        <v>0</v>
      </c>
      <c r="O90" s="9"/>
      <c r="P90" s="15" t="s">
        <v>76</v>
      </c>
      <c r="Q90" s="10">
        <v>0</v>
      </c>
    </row>
    <row r="91" spans="1:17" x14ac:dyDescent="0.25">
      <c r="A91" s="15" t="s">
        <v>91</v>
      </c>
      <c r="B91" s="5" t="s">
        <v>183</v>
      </c>
      <c r="C91" s="5" t="s">
        <v>52</v>
      </c>
      <c r="D91" s="17" t="s">
        <v>59</v>
      </c>
      <c r="E91" s="26"/>
      <c r="F91" s="7">
        <v>200</v>
      </c>
      <c r="G91" s="7">
        <v>500</v>
      </c>
      <c r="H91" s="16">
        <v>1.5</v>
      </c>
      <c r="I91" s="6"/>
      <c r="J91" s="7"/>
      <c r="K91" s="7"/>
      <c r="L91" s="6">
        <v>0</v>
      </c>
      <c r="M91" s="6">
        <v>0</v>
      </c>
      <c r="N91" s="6">
        <v>0</v>
      </c>
      <c r="O91" s="9"/>
      <c r="P91" s="15" t="s">
        <v>76</v>
      </c>
      <c r="Q91" s="10">
        <v>0</v>
      </c>
    </row>
    <row r="92" spans="1:17" x14ac:dyDescent="0.25">
      <c r="A92" s="15" t="s">
        <v>91</v>
      </c>
      <c r="B92" s="5" t="s">
        <v>184</v>
      </c>
      <c r="C92" s="5" t="s">
        <v>52</v>
      </c>
      <c r="D92" s="17" t="s">
        <v>59</v>
      </c>
      <c r="E92" s="26"/>
      <c r="F92" s="7">
        <v>150</v>
      </c>
      <c r="G92" s="7">
        <v>500</v>
      </c>
      <c r="H92" s="16">
        <v>2.333333333333333</v>
      </c>
      <c r="I92" s="6"/>
      <c r="J92" s="7"/>
      <c r="K92" s="7"/>
      <c r="L92" s="6">
        <v>0</v>
      </c>
      <c r="M92" s="6">
        <v>0</v>
      </c>
      <c r="N92" s="6">
        <v>0</v>
      </c>
      <c r="O92" s="9"/>
      <c r="P92" s="15" t="s">
        <v>76</v>
      </c>
      <c r="Q92" s="10">
        <v>0</v>
      </c>
    </row>
    <row r="93" spans="1:17" x14ac:dyDescent="0.25">
      <c r="A93" s="15" t="s">
        <v>91</v>
      </c>
      <c r="B93" s="5" t="s">
        <v>185</v>
      </c>
      <c r="C93" s="5" t="s">
        <v>52</v>
      </c>
      <c r="D93" s="17" t="s">
        <v>59</v>
      </c>
      <c r="E93" s="26"/>
      <c r="F93" s="7">
        <v>100</v>
      </c>
      <c r="G93" s="7">
        <v>500</v>
      </c>
      <c r="H93" s="16">
        <v>4</v>
      </c>
      <c r="I93" s="6"/>
      <c r="J93" s="7"/>
      <c r="K93" s="7"/>
      <c r="L93" s="6">
        <v>0</v>
      </c>
      <c r="M93" s="6">
        <v>0</v>
      </c>
      <c r="N93" s="6">
        <v>0</v>
      </c>
      <c r="O93" s="9"/>
      <c r="P93" s="15" t="s">
        <v>76</v>
      </c>
      <c r="Q93" s="10">
        <v>0</v>
      </c>
    </row>
    <row r="94" spans="1:17" x14ac:dyDescent="0.25">
      <c r="A94" s="15" t="s">
        <v>92</v>
      </c>
      <c r="B94" s="5" t="s">
        <v>186</v>
      </c>
      <c r="C94" s="5" t="s">
        <v>54</v>
      </c>
      <c r="D94" s="17" t="s">
        <v>59</v>
      </c>
      <c r="E94" s="26"/>
      <c r="F94" s="7">
        <v>3600</v>
      </c>
      <c r="G94" s="7">
        <v>4000</v>
      </c>
      <c r="H94" s="16">
        <v>0.1111111111111111</v>
      </c>
      <c r="I94" s="6"/>
      <c r="J94" s="7">
        <v>4000</v>
      </c>
      <c r="K94" s="7"/>
      <c r="L94" s="6">
        <v>0</v>
      </c>
      <c r="M94" s="6">
        <v>0</v>
      </c>
      <c r="N94" s="6">
        <v>0</v>
      </c>
      <c r="O94" s="9"/>
      <c r="P94" s="15" t="s">
        <v>76</v>
      </c>
      <c r="Q94" s="10">
        <v>0</v>
      </c>
    </row>
    <row r="95" spans="1:17" x14ac:dyDescent="0.25">
      <c r="A95" s="15" t="s">
        <v>92</v>
      </c>
      <c r="B95" s="5" t="s">
        <v>187</v>
      </c>
      <c r="C95" s="5" t="s">
        <v>54</v>
      </c>
      <c r="D95" s="17" t="s">
        <v>59</v>
      </c>
      <c r="E95" s="26"/>
      <c r="F95" s="7">
        <v>3600</v>
      </c>
      <c r="G95" s="7">
        <v>4000</v>
      </c>
      <c r="H95" s="16">
        <v>0.1111111111111111</v>
      </c>
      <c r="I95" s="6"/>
      <c r="J95" s="7">
        <v>4000</v>
      </c>
      <c r="K95" s="7"/>
      <c r="L95" s="6">
        <v>0</v>
      </c>
      <c r="M95" s="6">
        <v>0</v>
      </c>
      <c r="N95" s="6">
        <v>0</v>
      </c>
      <c r="O95" s="9"/>
      <c r="P95" s="15" t="s">
        <v>76</v>
      </c>
      <c r="Q95" s="10">
        <v>0</v>
      </c>
    </row>
    <row r="96" spans="1:17" x14ac:dyDescent="0.25">
      <c r="A96" s="15" t="s">
        <v>92</v>
      </c>
      <c r="B96" s="5" t="s">
        <v>188</v>
      </c>
      <c r="C96" s="5" t="s">
        <v>54</v>
      </c>
      <c r="D96" s="17" t="s">
        <v>59</v>
      </c>
      <c r="E96" s="26"/>
      <c r="F96" s="7">
        <v>12500</v>
      </c>
      <c r="G96" s="7">
        <v>15000</v>
      </c>
      <c r="H96" s="16">
        <v>0.2</v>
      </c>
      <c r="I96" s="6"/>
      <c r="J96" s="7"/>
      <c r="K96" s="7"/>
      <c r="L96" s="6">
        <v>0</v>
      </c>
      <c r="M96" s="6">
        <v>0</v>
      </c>
      <c r="N96" s="6">
        <v>0</v>
      </c>
      <c r="O96" s="9"/>
      <c r="P96" s="15" t="s">
        <v>76</v>
      </c>
      <c r="Q96" s="10">
        <v>0</v>
      </c>
    </row>
    <row r="97" spans="1:17" x14ac:dyDescent="0.25">
      <c r="A97" s="15" t="s">
        <v>92</v>
      </c>
      <c r="B97" s="5" t="s">
        <v>189</v>
      </c>
      <c r="C97" s="5" t="s">
        <v>54</v>
      </c>
      <c r="D97" s="17" t="s">
        <v>59</v>
      </c>
      <c r="E97" s="26"/>
      <c r="F97" s="7">
        <v>12500</v>
      </c>
      <c r="G97" s="7">
        <v>15000</v>
      </c>
      <c r="H97" s="16">
        <v>0.2</v>
      </c>
      <c r="I97" s="6"/>
      <c r="J97" s="7"/>
      <c r="K97" s="7"/>
      <c r="L97" s="6">
        <v>0</v>
      </c>
      <c r="M97" s="6">
        <v>0</v>
      </c>
      <c r="N97" s="6">
        <v>0</v>
      </c>
      <c r="O97" s="9"/>
      <c r="P97" s="15" t="s">
        <v>76</v>
      </c>
      <c r="Q97" s="10">
        <v>0</v>
      </c>
    </row>
    <row r="98" spans="1:17" x14ac:dyDescent="0.25">
      <c r="A98" s="15" t="s">
        <v>92</v>
      </c>
      <c r="B98" s="5" t="s">
        <v>190</v>
      </c>
      <c r="C98" s="5" t="s">
        <v>54</v>
      </c>
      <c r="D98" s="17" t="s">
        <v>59</v>
      </c>
      <c r="E98" s="26"/>
      <c r="F98" s="7">
        <v>2200</v>
      </c>
      <c r="G98" s="7">
        <v>3000</v>
      </c>
      <c r="H98" s="16">
        <v>0.36363636363636359</v>
      </c>
      <c r="I98" s="6"/>
      <c r="J98" s="7">
        <v>3000</v>
      </c>
      <c r="K98" s="7"/>
      <c r="L98" s="6">
        <v>0</v>
      </c>
      <c r="M98" s="6">
        <v>0</v>
      </c>
      <c r="N98" s="6">
        <v>0</v>
      </c>
      <c r="O98" s="9"/>
      <c r="P98" s="15" t="s">
        <v>76</v>
      </c>
      <c r="Q98" s="10">
        <v>0</v>
      </c>
    </row>
    <row r="99" spans="1:17" x14ac:dyDescent="0.25">
      <c r="A99" s="15" t="s">
        <v>91</v>
      </c>
      <c r="B99" s="5" t="s">
        <v>191</v>
      </c>
      <c r="C99" s="5" t="s">
        <v>52</v>
      </c>
      <c r="D99" s="17" t="s">
        <v>59</v>
      </c>
      <c r="E99" s="26"/>
      <c r="F99" s="7">
        <v>650</v>
      </c>
      <c r="G99" s="7">
        <v>1000</v>
      </c>
      <c r="H99" s="16">
        <v>0.53846153846153844</v>
      </c>
      <c r="I99" s="6"/>
      <c r="J99" s="7">
        <v>1000</v>
      </c>
      <c r="K99" s="7"/>
      <c r="L99" s="6">
        <v>0</v>
      </c>
      <c r="M99" s="6">
        <v>0</v>
      </c>
      <c r="N99" s="6">
        <v>0</v>
      </c>
      <c r="O99" s="9"/>
      <c r="P99" s="15" t="s">
        <v>76</v>
      </c>
      <c r="Q99" s="10">
        <v>0</v>
      </c>
    </row>
    <row r="100" spans="1:17" x14ac:dyDescent="0.25">
      <c r="A100" s="15" t="s">
        <v>91</v>
      </c>
      <c r="B100" s="5" t="s">
        <v>192</v>
      </c>
      <c r="C100" s="5" t="s">
        <v>52</v>
      </c>
      <c r="D100" s="17" t="s">
        <v>59</v>
      </c>
      <c r="E100" s="26"/>
      <c r="F100" s="7">
        <v>600</v>
      </c>
      <c r="G100" s="7">
        <v>1000</v>
      </c>
      <c r="H100" s="16">
        <v>0.66666666666666663</v>
      </c>
      <c r="I100" s="6"/>
      <c r="J100" s="7">
        <v>1000</v>
      </c>
      <c r="K100" s="7"/>
      <c r="L100" s="6">
        <v>0</v>
      </c>
      <c r="M100" s="6">
        <v>0</v>
      </c>
      <c r="N100" s="6">
        <v>0</v>
      </c>
      <c r="O100" s="9"/>
      <c r="P100" s="15" t="s">
        <v>76</v>
      </c>
      <c r="Q100" s="10">
        <v>0</v>
      </c>
    </row>
    <row r="101" spans="1:17" x14ac:dyDescent="0.25">
      <c r="A101" s="15" t="s">
        <v>91</v>
      </c>
      <c r="B101" s="5" t="s">
        <v>193</v>
      </c>
      <c r="C101" s="5" t="s">
        <v>52</v>
      </c>
      <c r="D101" s="17" t="s">
        <v>59</v>
      </c>
      <c r="E101" s="26"/>
      <c r="F101" s="7">
        <v>750</v>
      </c>
      <c r="G101" s="7">
        <v>1000</v>
      </c>
      <c r="H101" s="16">
        <v>0.33333333333333331</v>
      </c>
      <c r="I101" s="6"/>
      <c r="J101" s="7">
        <v>1000</v>
      </c>
      <c r="K101" s="7"/>
      <c r="L101" s="6">
        <v>0</v>
      </c>
      <c r="M101" s="6">
        <v>0</v>
      </c>
      <c r="N101" s="6">
        <v>0</v>
      </c>
      <c r="O101" s="9"/>
      <c r="P101" s="15" t="s">
        <v>76</v>
      </c>
      <c r="Q101" s="10">
        <v>0</v>
      </c>
    </row>
    <row r="102" spans="1:17" x14ac:dyDescent="0.25">
      <c r="A102" s="15" t="s">
        <v>91</v>
      </c>
      <c r="B102" s="5" t="s">
        <v>194</v>
      </c>
      <c r="C102" s="5" t="s">
        <v>52</v>
      </c>
      <c r="D102" s="17" t="s">
        <v>59</v>
      </c>
      <c r="E102" s="26"/>
      <c r="F102" s="7">
        <v>350</v>
      </c>
      <c r="G102" s="7">
        <v>800</v>
      </c>
      <c r="H102" s="16">
        <v>1.285714285714286</v>
      </c>
      <c r="I102" s="6"/>
      <c r="J102" s="7">
        <v>600</v>
      </c>
      <c r="K102" s="7"/>
      <c r="L102" s="6">
        <v>0</v>
      </c>
      <c r="M102" s="6">
        <v>0</v>
      </c>
      <c r="N102" s="6">
        <v>0</v>
      </c>
      <c r="O102" s="9"/>
      <c r="P102" s="15" t="s">
        <v>76</v>
      </c>
      <c r="Q102" s="10">
        <v>0</v>
      </c>
    </row>
    <row r="103" spans="1:17" x14ac:dyDescent="0.25">
      <c r="A103" s="15" t="s">
        <v>91</v>
      </c>
      <c r="B103" s="5" t="s">
        <v>195</v>
      </c>
      <c r="C103" s="5" t="s">
        <v>52</v>
      </c>
      <c r="D103" s="17" t="s">
        <v>59</v>
      </c>
      <c r="E103" s="26"/>
      <c r="F103" s="7">
        <v>400</v>
      </c>
      <c r="G103" s="7">
        <v>1000</v>
      </c>
      <c r="H103" s="16">
        <v>1.5</v>
      </c>
      <c r="I103" s="6"/>
      <c r="J103" s="7">
        <v>800</v>
      </c>
      <c r="K103" s="7"/>
      <c r="L103" s="6">
        <v>0</v>
      </c>
      <c r="M103" s="6">
        <v>0</v>
      </c>
      <c r="N103" s="6">
        <v>0</v>
      </c>
      <c r="O103" s="9"/>
      <c r="P103" s="15" t="s">
        <v>76</v>
      </c>
      <c r="Q103" s="10">
        <v>0</v>
      </c>
    </row>
    <row r="104" spans="1:17" x14ac:dyDescent="0.25">
      <c r="A104" s="15" t="s">
        <v>91</v>
      </c>
      <c r="B104" s="5" t="s">
        <v>196</v>
      </c>
      <c r="C104" s="5" t="s">
        <v>52</v>
      </c>
      <c r="D104" s="17" t="s">
        <v>59</v>
      </c>
      <c r="E104" s="26"/>
      <c r="F104" s="7">
        <v>300</v>
      </c>
      <c r="G104" s="7">
        <v>500</v>
      </c>
      <c r="H104" s="16">
        <v>0.66666666666666663</v>
      </c>
      <c r="I104" s="6"/>
      <c r="J104" s="7"/>
      <c r="K104" s="7"/>
      <c r="L104" s="6">
        <v>0</v>
      </c>
      <c r="M104" s="6">
        <v>0</v>
      </c>
      <c r="N104" s="6">
        <v>0</v>
      </c>
      <c r="O104" s="9"/>
      <c r="P104" s="15" t="s">
        <v>76</v>
      </c>
      <c r="Q104" s="10">
        <v>0</v>
      </c>
    </row>
    <row r="105" spans="1:17" x14ac:dyDescent="0.25">
      <c r="A105" s="15" t="s">
        <v>91</v>
      </c>
      <c r="B105" s="5" t="s">
        <v>197</v>
      </c>
      <c r="C105" s="5" t="s">
        <v>52</v>
      </c>
      <c r="D105" s="17" t="s">
        <v>59</v>
      </c>
      <c r="E105" s="26"/>
      <c r="F105" s="7">
        <v>40</v>
      </c>
      <c r="G105" s="7">
        <v>200</v>
      </c>
      <c r="H105" s="16">
        <v>4</v>
      </c>
      <c r="I105" s="6"/>
      <c r="J105" s="7"/>
      <c r="K105" s="7"/>
      <c r="L105" s="6">
        <v>0</v>
      </c>
      <c r="M105" s="6">
        <v>0</v>
      </c>
      <c r="N105" s="6">
        <v>0</v>
      </c>
      <c r="O105" s="9"/>
      <c r="P105" s="15" t="s">
        <v>76</v>
      </c>
      <c r="Q105" s="10">
        <v>0</v>
      </c>
    </row>
    <row r="106" spans="1:17" x14ac:dyDescent="0.25">
      <c r="A106" s="15"/>
      <c r="B106" s="5" t="s">
        <v>198</v>
      </c>
      <c r="C106" s="5" t="s">
        <v>54</v>
      </c>
      <c r="D106" s="17" t="s">
        <v>59</v>
      </c>
      <c r="E106" s="26"/>
      <c r="F106" s="7">
        <v>2500</v>
      </c>
      <c r="G106" s="7">
        <v>7000</v>
      </c>
      <c r="H106" s="16">
        <v>1.8</v>
      </c>
      <c r="I106" s="6"/>
      <c r="J106" s="7">
        <v>5000</v>
      </c>
      <c r="K106" s="7"/>
      <c r="L106" s="6">
        <v>0</v>
      </c>
      <c r="M106" s="6">
        <v>0</v>
      </c>
      <c r="N106" s="6">
        <v>0</v>
      </c>
      <c r="O106" s="9"/>
      <c r="P106" s="15" t="s">
        <v>76</v>
      </c>
      <c r="Q106" s="10">
        <v>0</v>
      </c>
    </row>
    <row r="107" spans="1:17" x14ac:dyDescent="0.25">
      <c r="A107" s="15" t="s">
        <v>102</v>
      </c>
      <c r="B107" s="5" t="s">
        <v>199</v>
      </c>
      <c r="C107" s="5" t="s">
        <v>52</v>
      </c>
      <c r="D107" s="17" t="s">
        <v>59</v>
      </c>
      <c r="E107" s="26"/>
      <c r="F107" s="7">
        <v>3500</v>
      </c>
      <c r="G107" s="7">
        <v>6000</v>
      </c>
      <c r="H107" s="16">
        <v>0.7142857142857143</v>
      </c>
      <c r="I107" s="6"/>
      <c r="J107" s="7">
        <v>5000</v>
      </c>
      <c r="K107" s="7"/>
      <c r="L107" s="6">
        <v>0</v>
      </c>
      <c r="M107" s="6">
        <v>0</v>
      </c>
      <c r="N107" s="6">
        <v>0</v>
      </c>
      <c r="O107" s="9"/>
      <c r="P107" s="15" t="s">
        <v>76</v>
      </c>
      <c r="Q107" s="10">
        <v>0</v>
      </c>
    </row>
    <row r="108" spans="1:17" x14ac:dyDescent="0.25">
      <c r="A108" s="15" t="s">
        <v>102</v>
      </c>
      <c r="B108" s="5" t="s">
        <v>200</v>
      </c>
      <c r="C108" s="5" t="s">
        <v>52</v>
      </c>
      <c r="D108" s="17" t="s">
        <v>59</v>
      </c>
      <c r="E108" s="26"/>
      <c r="F108" s="7">
        <v>4000</v>
      </c>
      <c r="G108" s="7">
        <v>6000</v>
      </c>
      <c r="H108" s="16">
        <v>0.5</v>
      </c>
      <c r="I108" s="6"/>
      <c r="J108" s="7">
        <v>5500</v>
      </c>
      <c r="K108" s="7"/>
      <c r="L108" s="6">
        <v>0</v>
      </c>
      <c r="M108" s="6">
        <v>0</v>
      </c>
      <c r="N108" s="6">
        <v>0</v>
      </c>
      <c r="O108" s="9"/>
      <c r="P108" s="15" t="s">
        <v>76</v>
      </c>
      <c r="Q108" s="10">
        <v>0</v>
      </c>
    </row>
    <row r="109" spans="1:17" x14ac:dyDescent="0.25">
      <c r="A109" s="15" t="s">
        <v>102</v>
      </c>
      <c r="B109" s="5" t="s">
        <v>201</v>
      </c>
      <c r="C109" s="5" t="s">
        <v>52</v>
      </c>
      <c r="D109" s="17" t="s">
        <v>59</v>
      </c>
      <c r="E109" s="26">
        <v>2500</v>
      </c>
      <c r="F109" s="7">
        <v>11000</v>
      </c>
      <c r="G109" s="7">
        <v>13000</v>
      </c>
      <c r="H109" s="16">
        <v>0.1818181818181818</v>
      </c>
      <c r="I109" s="6"/>
      <c r="J109" s="7">
        <v>12500</v>
      </c>
      <c r="K109" s="7"/>
      <c r="L109" s="6">
        <v>0</v>
      </c>
      <c r="M109" s="6">
        <v>0</v>
      </c>
      <c r="N109" s="6">
        <v>0</v>
      </c>
      <c r="O109" s="9"/>
      <c r="P109" s="15" t="s">
        <v>76</v>
      </c>
      <c r="Q109" s="10">
        <v>0</v>
      </c>
    </row>
    <row r="110" spans="1:17" x14ac:dyDescent="0.25">
      <c r="A110" s="15" t="s">
        <v>91</v>
      </c>
      <c r="B110" s="5" t="s">
        <v>202</v>
      </c>
      <c r="C110" s="5" t="s">
        <v>54</v>
      </c>
      <c r="D110" s="17" t="s">
        <v>59</v>
      </c>
      <c r="E110" s="26"/>
      <c r="F110" s="7">
        <v>50</v>
      </c>
      <c r="G110" s="7">
        <v>200</v>
      </c>
      <c r="H110" s="16">
        <v>3</v>
      </c>
      <c r="I110" s="6">
        <v>100</v>
      </c>
      <c r="J110" s="7">
        <v>100</v>
      </c>
      <c r="K110" s="7"/>
      <c r="L110" s="6">
        <v>0</v>
      </c>
      <c r="M110" s="6">
        <v>0</v>
      </c>
      <c r="N110" s="6">
        <v>100</v>
      </c>
      <c r="O110" s="9"/>
      <c r="P110" s="15" t="s">
        <v>81</v>
      </c>
      <c r="Q110" s="10">
        <v>5000</v>
      </c>
    </row>
    <row r="111" spans="1:17" x14ac:dyDescent="0.25">
      <c r="A111" s="15"/>
      <c r="B111" s="5" t="s">
        <v>203</v>
      </c>
      <c r="C111" s="5" t="s">
        <v>52</v>
      </c>
      <c r="D111" s="17" t="s">
        <v>59</v>
      </c>
      <c r="E111" s="26"/>
      <c r="F111" s="7">
        <v>250</v>
      </c>
      <c r="G111" s="7">
        <v>500</v>
      </c>
      <c r="H111" s="16">
        <v>1</v>
      </c>
      <c r="I111" s="6"/>
      <c r="J111" s="7"/>
      <c r="K111" s="7"/>
      <c r="L111" s="6">
        <v>0</v>
      </c>
      <c r="M111" s="6">
        <v>0</v>
      </c>
      <c r="N111" s="6">
        <v>0</v>
      </c>
      <c r="O111" s="9"/>
      <c r="P111" s="15" t="s">
        <v>76</v>
      </c>
      <c r="Q111" s="10">
        <v>0</v>
      </c>
    </row>
    <row r="112" spans="1:17" x14ac:dyDescent="0.25">
      <c r="A112" s="15"/>
      <c r="B112" s="5" t="s">
        <v>204</v>
      </c>
      <c r="C112" s="5" t="s">
        <v>52</v>
      </c>
      <c r="D112" s="17" t="s">
        <v>59</v>
      </c>
      <c r="E112" s="26"/>
      <c r="F112" s="7">
        <v>350</v>
      </c>
      <c r="G112" s="7">
        <v>500</v>
      </c>
      <c r="H112" s="16">
        <v>0.42857142857142849</v>
      </c>
      <c r="I112" s="6"/>
      <c r="J112" s="7"/>
      <c r="K112" s="7"/>
      <c r="L112" s="6">
        <v>0</v>
      </c>
      <c r="M112" s="6">
        <v>0</v>
      </c>
      <c r="N112" s="6">
        <v>0</v>
      </c>
      <c r="O112" s="9"/>
      <c r="P112" s="15" t="s">
        <v>76</v>
      </c>
      <c r="Q112" s="10">
        <v>0</v>
      </c>
    </row>
    <row r="113" spans="1:17" x14ac:dyDescent="0.25">
      <c r="A113" s="15"/>
      <c r="B113" s="5" t="s">
        <v>205</v>
      </c>
      <c r="C113" s="5" t="s">
        <v>52</v>
      </c>
      <c r="D113" s="17" t="s">
        <v>59</v>
      </c>
      <c r="E113" s="26"/>
      <c r="F113" s="7">
        <v>1200</v>
      </c>
      <c r="G113" s="7">
        <v>2000</v>
      </c>
      <c r="H113" s="16">
        <v>0.66666666666666663</v>
      </c>
      <c r="I113" s="6"/>
      <c r="J113" s="7">
        <v>1700</v>
      </c>
      <c r="K113" s="7"/>
      <c r="L113" s="6">
        <v>0</v>
      </c>
      <c r="M113" s="6">
        <v>0</v>
      </c>
      <c r="N113" s="6">
        <v>0</v>
      </c>
      <c r="O113" s="9"/>
      <c r="P113" s="15" t="s">
        <v>76</v>
      </c>
      <c r="Q113" s="10">
        <v>0</v>
      </c>
    </row>
    <row r="114" spans="1:17" x14ac:dyDescent="0.25">
      <c r="A114" s="15" t="s">
        <v>91</v>
      </c>
      <c r="B114" s="5" t="s">
        <v>206</v>
      </c>
      <c r="C114" s="5" t="s">
        <v>52</v>
      </c>
      <c r="D114" s="17" t="s">
        <v>59</v>
      </c>
      <c r="E114" s="26"/>
      <c r="F114" s="7">
        <v>700</v>
      </c>
      <c r="G114" s="7">
        <v>1000</v>
      </c>
      <c r="H114" s="16">
        <v>0.42857142857142849</v>
      </c>
      <c r="I114" s="6"/>
      <c r="J114" s="7">
        <v>1000</v>
      </c>
      <c r="K114" s="7"/>
      <c r="L114" s="6">
        <v>0</v>
      </c>
      <c r="M114" s="6">
        <v>0</v>
      </c>
      <c r="N114" s="6">
        <v>0</v>
      </c>
      <c r="O114" s="9"/>
      <c r="P114" s="15" t="s">
        <v>76</v>
      </c>
      <c r="Q114" s="10">
        <v>0</v>
      </c>
    </row>
    <row r="115" spans="1:17" x14ac:dyDescent="0.25">
      <c r="A115" s="15" t="s">
        <v>91</v>
      </c>
      <c r="B115" s="5" t="s">
        <v>207</v>
      </c>
      <c r="C115" s="5" t="s">
        <v>52</v>
      </c>
      <c r="D115" s="17" t="s">
        <v>59</v>
      </c>
      <c r="E115" s="26"/>
      <c r="F115" s="7">
        <v>300</v>
      </c>
      <c r="G115" s="7">
        <v>1000</v>
      </c>
      <c r="H115" s="16">
        <v>2.333333333333333</v>
      </c>
      <c r="I115" s="6"/>
      <c r="J115" s="7">
        <v>1000</v>
      </c>
      <c r="K115" s="7"/>
      <c r="L115" s="6">
        <v>0</v>
      </c>
      <c r="M115" s="6">
        <v>0</v>
      </c>
      <c r="N115" s="6">
        <v>0</v>
      </c>
      <c r="O115" s="9"/>
      <c r="P115" s="15" t="s">
        <v>76</v>
      </c>
      <c r="Q115" s="10">
        <v>0</v>
      </c>
    </row>
    <row r="116" spans="1:17" x14ac:dyDescent="0.25">
      <c r="A116" s="15"/>
      <c r="B116" s="5" t="s">
        <v>208</v>
      </c>
      <c r="C116" s="5" t="s">
        <v>52</v>
      </c>
      <c r="D116" s="17" t="s">
        <v>59</v>
      </c>
      <c r="E116" s="26"/>
      <c r="F116" s="7">
        <v>650</v>
      </c>
      <c r="G116" s="7">
        <v>1000</v>
      </c>
      <c r="H116" s="16">
        <v>0.53846153846153844</v>
      </c>
      <c r="I116" s="6"/>
      <c r="J116" s="7">
        <v>1000</v>
      </c>
      <c r="K116" s="7"/>
      <c r="L116" s="6">
        <v>0</v>
      </c>
      <c r="M116" s="6">
        <v>0</v>
      </c>
      <c r="N116" s="6">
        <v>0</v>
      </c>
      <c r="O116" s="9"/>
      <c r="P116" s="15" t="s">
        <v>76</v>
      </c>
      <c r="Q116" s="10">
        <v>0</v>
      </c>
    </row>
    <row r="117" spans="1:17" x14ac:dyDescent="0.25">
      <c r="A117" s="15"/>
      <c r="B117" s="5" t="s">
        <v>209</v>
      </c>
      <c r="C117" s="5" t="s">
        <v>52</v>
      </c>
      <c r="D117" s="17" t="s">
        <v>59</v>
      </c>
      <c r="E117" s="26"/>
      <c r="F117" s="7">
        <v>650</v>
      </c>
      <c r="G117" s="7">
        <v>1000</v>
      </c>
      <c r="H117" s="16">
        <v>0.53846153846153844</v>
      </c>
      <c r="I117" s="6"/>
      <c r="J117" s="7">
        <v>1000</v>
      </c>
      <c r="K117" s="7"/>
      <c r="L117" s="6">
        <v>0</v>
      </c>
      <c r="M117" s="6">
        <v>0</v>
      </c>
      <c r="N117" s="6">
        <v>0</v>
      </c>
      <c r="O117" s="9"/>
      <c r="P117" s="15" t="s">
        <v>76</v>
      </c>
      <c r="Q117" s="10">
        <v>0</v>
      </c>
    </row>
    <row r="118" spans="1:17" x14ac:dyDescent="0.25">
      <c r="A118" s="15"/>
      <c r="B118" s="5" t="s">
        <v>210</v>
      </c>
      <c r="C118" s="5" t="s">
        <v>52</v>
      </c>
      <c r="D118" s="17" t="s">
        <v>59</v>
      </c>
      <c r="E118" s="26"/>
      <c r="F118" s="7">
        <v>650</v>
      </c>
      <c r="G118" s="7">
        <v>1000</v>
      </c>
      <c r="H118" s="16">
        <v>0.53846153846153844</v>
      </c>
      <c r="I118" s="6"/>
      <c r="J118" s="7">
        <v>1000</v>
      </c>
      <c r="K118" s="7"/>
      <c r="L118" s="6">
        <v>0</v>
      </c>
      <c r="M118" s="6">
        <v>0</v>
      </c>
      <c r="N118" s="6">
        <v>0</v>
      </c>
      <c r="O118" s="9"/>
      <c r="P118" s="15" t="s">
        <v>76</v>
      </c>
      <c r="Q118" s="10">
        <v>0</v>
      </c>
    </row>
    <row r="119" spans="1:17" x14ac:dyDescent="0.25">
      <c r="A119" s="15" t="s">
        <v>158</v>
      </c>
      <c r="B119" s="5" t="s">
        <v>211</v>
      </c>
      <c r="C119" s="5" t="s">
        <v>52</v>
      </c>
      <c r="D119" s="17" t="s">
        <v>88</v>
      </c>
      <c r="E119" s="26">
        <v>500</v>
      </c>
      <c r="F119" s="7">
        <v>27500</v>
      </c>
      <c r="G119" s="7">
        <v>33000</v>
      </c>
      <c r="H119" s="16">
        <v>0.2</v>
      </c>
      <c r="I119" s="6"/>
      <c r="J119" s="7">
        <v>30000</v>
      </c>
      <c r="K119" s="7"/>
      <c r="L119" s="6">
        <v>0</v>
      </c>
      <c r="M119" s="6">
        <v>0</v>
      </c>
      <c r="N119" s="6">
        <v>0</v>
      </c>
      <c r="O119" s="9"/>
      <c r="P119" s="15" t="s">
        <v>76</v>
      </c>
      <c r="Q119" s="10">
        <v>0</v>
      </c>
    </row>
    <row r="120" spans="1:17" x14ac:dyDescent="0.25">
      <c r="A120" s="15" t="s">
        <v>158</v>
      </c>
      <c r="B120" s="5" t="s">
        <v>212</v>
      </c>
      <c r="C120" s="5" t="s">
        <v>52</v>
      </c>
      <c r="D120" s="17" t="s">
        <v>88</v>
      </c>
      <c r="E120" s="26">
        <v>500</v>
      </c>
      <c r="F120" s="7">
        <v>27500</v>
      </c>
      <c r="G120" s="7">
        <v>33000</v>
      </c>
      <c r="H120" s="16">
        <v>0.2</v>
      </c>
      <c r="I120" s="6"/>
      <c r="J120" s="7">
        <v>30000</v>
      </c>
      <c r="K120" s="7"/>
      <c r="L120" s="6">
        <v>0</v>
      </c>
      <c r="M120" s="6">
        <v>0</v>
      </c>
      <c r="N120" s="6">
        <v>0</v>
      </c>
      <c r="O120" s="9"/>
      <c r="P120" s="15" t="s">
        <v>76</v>
      </c>
      <c r="Q120" s="10">
        <v>0</v>
      </c>
    </row>
    <row r="121" spans="1:17" x14ac:dyDescent="0.25">
      <c r="A121" s="15" t="s">
        <v>91</v>
      </c>
      <c r="B121" s="5" t="s">
        <v>213</v>
      </c>
      <c r="C121" s="5" t="s">
        <v>54</v>
      </c>
      <c r="D121" s="17" t="s">
        <v>59</v>
      </c>
      <c r="E121" s="26"/>
      <c r="F121" s="7">
        <v>1084</v>
      </c>
      <c r="G121" s="7">
        <v>2000</v>
      </c>
      <c r="H121" s="16">
        <v>0.84501845018450183</v>
      </c>
      <c r="I121" s="6"/>
      <c r="J121" s="7">
        <v>1500</v>
      </c>
      <c r="K121" s="7"/>
      <c r="L121" s="6">
        <v>0</v>
      </c>
      <c r="M121" s="6">
        <v>0</v>
      </c>
      <c r="N121" s="6">
        <v>0</v>
      </c>
      <c r="O121" s="9"/>
      <c r="P121" s="15" t="s">
        <v>76</v>
      </c>
      <c r="Q121" s="10">
        <v>0</v>
      </c>
    </row>
    <row r="122" spans="1:17" x14ac:dyDescent="0.25">
      <c r="A122" s="15" t="s">
        <v>91</v>
      </c>
      <c r="B122" s="5" t="s">
        <v>214</v>
      </c>
      <c r="C122" s="5" t="s">
        <v>54</v>
      </c>
      <c r="D122" s="17" t="s">
        <v>59</v>
      </c>
      <c r="E122" s="26"/>
      <c r="F122" s="7">
        <v>1300</v>
      </c>
      <c r="G122" s="7">
        <v>2000</v>
      </c>
      <c r="H122" s="16">
        <v>0.53846153846153844</v>
      </c>
      <c r="I122" s="6"/>
      <c r="J122" s="7">
        <v>1700</v>
      </c>
      <c r="K122" s="7"/>
      <c r="L122" s="6">
        <v>0</v>
      </c>
      <c r="M122" s="6">
        <v>0</v>
      </c>
      <c r="N122" s="6">
        <v>0</v>
      </c>
      <c r="O122" s="9"/>
      <c r="P122" s="15" t="s">
        <v>76</v>
      </c>
      <c r="Q122" s="10">
        <v>0</v>
      </c>
    </row>
    <row r="123" spans="1:17" x14ac:dyDescent="0.25">
      <c r="A123" s="15" t="s">
        <v>91</v>
      </c>
      <c r="B123" s="5" t="s">
        <v>215</v>
      </c>
      <c r="C123" s="5" t="s">
        <v>54</v>
      </c>
      <c r="D123" s="17" t="s">
        <v>59</v>
      </c>
      <c r="E123" s="26"/>
      <c r="F123" s="7">
        <v>1200</v>
      </c>
      <c r="G123" s="7">
        <v>2000</v>
      </c>
      <c r="H123" s="16">
        <v>0.66666666666666663</v>
      </c>
      <c r="I123" s="6"/>
      <c r="J123" s="7">
        <v>1500</v>
      </c>
      <c r="K123" s="7"/>
      <c r="L123" s="6">
        <v>0</v>
      </c>
      <c r="M123" s="6">
        <v>0</v>
      </c>
      <c r="N123" s="6">
        <v>0</v>
      </c>
      <c r="O123" s="9"/>
      <c r="P123" s="15" t="s">
        <v>76</v>
      </c>
      <c r="Q123" s="10">
        <v>0</v>
      </c>
    </row>
    <row r="124" spans="1:17" x14ac:dyDescent="0.25">
      <c r="A124" s="15" t="s">
        <v>91</v>
      </c>
      <c r="B124" s="5" t="s">
        <v>216</v>
      </c>
      <c r="C124" s="5" t="s">
        <v>54</v>
      </c>
      <c r="D124" s="17" t="s">
        <v>59</v>
      </c>
      <c r="E124" s="26"/>
      <c r="F124" s="7">
        <v>2000</v>
      </c>
      <c r="G124" s="7">
        <v>3000</v>
      </c>
      <c r="H124" s="16">
        <v>0.5</v>
      </c>
      <c r="I124" s="6"/>
      <c r="J124" s="7">
        <v>2500</v>
      </c>
      <c r="K124" s="7"/>
      <c r="L124" s="6">
        <v>0</v>
      </c>
      <c r="M124" s="6">
        <v>0</v>
      </c>
      <c r="N124" s="6">
        <v>0</v>
      </c>
      <c r="O124" s="9"/>
      <c r="P124" s="15" t="s">
        <v>76</v>
      </c>
      <c r="Q124" s="10">
        <v>0</v>
      </c>
    </row>
    <row r="125" spans="1:17" x14ac:dyDescent="0.25">
      <c r="A125" s="15" t="s">
        <v>91</v>
      </c>
      <c r="B125" s="5" t="s">
        <v>217</v>
      </c>
      <c r="C125" s="5" t="s">
        <v>54</v>
      </c>
      <c r="D125" s="17" t="s">
        <v>59</v>
      </c>
      <c r="E125" s="26"/>
      <c r="F125" s="7">
        <v>1500</v>
      </c>
      <c r="G125" s="7">
        <v>2500</v>
      </c>
      <c r="H125" s="16">
        <v>0.66666666666666663</v>
      </c>
      <c r="I125" s="6"/>
      <c r="J125" s="7">
        <v>2000</v>
      </c>
      <c r="K125" s="7"/>
      <c r="L125" s="6">
        <v>0</v>
      </c>
      <c r="M125" s="6">
        <v>0</v>
      </c>
      <c r="N125" s="6">
        <v>0</v>
      </c>
      <c r="O125" s="9"/>
      <c r="P125" s="15" t="s">
        <v>76</v>
      </c>
      <c r="Q125" s="10">
        <v>0</v>
      </c>
    </row>
    <row r="126" spans="1:17" x14ac:dyDescent="0.25">
      <c r="A126" s="15" t="s">
        <v>91</v>
      </c>
      <c r="B126" s="5" t="s">
        <v>218</v>
      </c>
      <c r="C126" s="5" t="s">
        <v>54</v>
      </c>
      <c r="D126" s="17" t="s">
        <v>59</v>
      </c>
      <c r="E126" s="26"/>
      <c r="F126" s="7">
        <v>2500</v>
      </c>
      <c r="G126" s="7">
        <v>3500</v>
      </c>
      <c r="H126" s="16">
        <v>0.4</v>
      </c>
      <c r="I126" s="6"/>
      <c r="J126" s="7">
        <v>3000</v>
      </c>
      <c r="K126" s="7"/>
      <c r="L126" s="6">
        <v>0</v>
      </c>
      <c r="M126" s="6">
        <v>0</v>
      </c>
      <c r="N126" s="6">
        <v>0</v>
      </c>
      <c r="O126" s="9"/>
      <c r="P126" s="15" t="s">
        <v>76</v>
      </c>
      <c r="Q126" s="10">
        <v>0</v>
      </c>
    </row>
    <row r="127" spans="1:17" x14ac:dyDescent="0.25">
      <c r="A127" s="15"/>
      <c r="B127" s="5" t="s">
        <v>219</v>
      </c>
      <c r="C127" s="5" t="s">
        <v>52</v>
      </c>
      <c r="D127" s="17" t="s">
        <v>59</v>
      </c>
      <c r="E127" s="26"/>
      <c r="F127" s="7">
        <v>300</v>
      </c>
      <c r="G127" s="7">
        <v>500</v>
      </c>
      <c r="H127" s="16">
        <v>0.66666666666666663</v>
      </c>
      <c r="I127" s="6"/>
      <c r="J127" s="7"/>
      <c r="K127" s="7"/>
      <c r="L127" s="6">
        <v>0</v>
      </c>
      <c r="M127" s="6">
        <v>0</v>
      </c>
      <c r="N127" s="6">
        <v>0</v>
      </c>
      <c r="O127" s="9"/>
      <c r="P127" s="15" t="s">
        <v>76</v>
      </c>
      <c r="Q127" s="10">
        <v>0</v>
      </c>
    </row>
    <row r="128" spans="1:17" x14ac:dyDescent="0.25">
      <c r="A128" s="15" t="s">
        <v>102</v>
      </c>
      <c r="B128" s="5" t="s">
        <v>220</v>
      </c>
      <c r="C128" s="5" t="s">
        <v>54</v>
      </c>
      <c r="D128" s="17" t="s">
        <v>84</v>
      </c>
      <c r="E128" s="26"/>
      <c r="F128" s="7">
        <v>12500</v>
      </c>
      <c r="G128" s="7">
        <v>14000</v>
      </c>
      <c r="H128" s="16">
        <v>0.12</v>
      </c>
      <c r="I128" s="6">
        <v>0</v>
      </c>
      <c r="J128" s="7">
        <v>13500</v>
      </c>
      <c r="K128" s="7"/>
      <c r="L128" s="6">
        <v>0</v>
      </c>
      <c r="M128" s="6">
        <v>0</v>
      </c>
      <c r="N128" s="6">
        <v>0</v>
      </c>
      <c r="O128" s="9"/>
      <c r="P128" s="15" t="s">
        <v>76</v>
      </c>
      <c r="Q128" s="10">
        <v>0</v>
      </c>
    </row>
    <row r="129" spans="1:17" x14ac:dyDescent="0.25">
      <c r="A129" s="15" t="s">
        <v>92</v>
      </c>
      <c r="B129" s="5" t="s">
        <v>221</v>
      </c>
      <c r="C129" s="5" t="s">
        <v>54</v>
      </c>
      <c r="D129" s="17" t="s">
        <v>84</v>
      </c>
      <c r="E129" s="26"/>
      <c r="F129" s="7">
        <v>12500</v>
      </c>
      <c r="G129" s="7">
        <v>14000</v>
      </c>
      <c r="H129" s="16">
        <v>0.12</v>
      </c>
      <c r="I129" s="6">
        <v>2</v>
      </c>
      <c r="J129" s="7">
        <v>13500</v>
      </c>
      <c r="K129" s="7"/>
      <c r="L129" s="6">
        <v>0</v>
      </c>
      <c r="M129" s="6">
        <v>0</v>
      </c>
      <c r="N129" s="6">
        <v>2</v>
      </c>
      <c r="O129" s="9"/>
      <c r="P129" s="15" t="s">
        <v>81</v>
      </c>
      <c r="Q129" s="10">
        <v>25000</v>
      </c>
    </row>
    <row r="130" spans="1:17" x14ac:dyDescent="0.25">
      <c r="A130" s="15" t="s">
        <v>222</v>
      </c>
      <c r="B130" s="5" t="s">
        <v>190</v>
      </c>
      <c r="C130" s="5" t="s">
        <v>54</v>
      </c>
      <c r="D130" s="17" t="s">
        <v>59</v>
      </c>
      <c r="E130" s="26"/>
      <c r="F130" s="7">
        <v>2000</v>
      </c>
      <c r="G130" s="7">
        <v>3000</v>
      </c>
      <c r="H130" s="16">
        <v>0.5</v>
      </c>
      <c r="I130" s="6"/>
      <c r="J130" s="7"/>
      <c r="K130" s="7"/>
      <c r="L130" s="6">
        <v>0</v>
      </c>
      <c r="M130" s="6">
        <v>0</v>
      </c>
      <c r="N130" s="6">
        <v>0</v>
      </c>
      <c r="O130" s="9"/>
      <c r="P130" s="15" t="s">
        <v>76</v>
      </c>
      <c r="Q130" s="10">
        <v>0</v>
      </c>
    </row>
    <row r="131" spans="1:17" x14ac:dyDescent="0.25">
      <c r="A131" s="15" t="s">
        <v>99</v>
      </c>
      <c r="B131" s="5" t="s">
        <v>223</v>
      </c>
      <c r="C131" s="5" t="s">
        <v>54</v>
      </c>
      <c r="D131" s="17" t="s">
        <v>59</v>
      </c>
      <c r="E131" s="26"/>
      <c r="F131" s="7">
        <v>3500</v>
      </c>
      <c r="G131" s="7">
        <v>4000</v>
      </c>
      <c r="H131" s="16">
        <v>0.14285714285714279</v>
      </c>
      <c r="I131" s="6"/>
      <c r="J131" s="7">
        <v>4000</v>
      </c>
      <c r="K131" s="7"/>
      <c r="L131" s="6">
        <v>0</v>
      </c>
      <c r="M131" s="6">
        <v>0</v>
      </c>
      <c r="N131" s="6">
        <v>0</v>
      </c>
      <c r="O131" s="9"/>
      <c r="P131" s="15" t="s">
        <v>76</v>
      </c>
      <c r="Q131" s="10">
        <v>0</v>
      </c>
    </row>
    <row r="132" spans="1:17" x14ac:dyDescent="0.25">
      <c r="A132" s="15"/>
      <c r="B132" s="5" t="s">
        <v>224</v>
      </c>
      <c r="C132" s="5" t="s">
        <v>52</v>
      </c>
      <c r="D132" s="17" t="s">
        <v>79</v>
      </c>
      <c r="E132" s="26">
        <v>1000</v>
      </c>
      <c r="F132" s="7">
        <v>3500</v>
      </c>
      <c r="G132" s="7">
        <v>5500</v>
      </c>
      <c r="H132" s="16">
        <v>0.5714285714285714</v>
      </c>
      <c r="I132" s="6"/>
      <c r="J132" s="7">
        <v>5000</v>
      </c>
      <c r="K132" s="7"/>
      <c r="L132" s="6">
        <v>0</v>
      </c>
      <c r="M132" s="6">
        <v>0</v>
      </c>
      <c r="N132" s="6">
        <v>0</v>
      </c>
      <c r="O132" s="9"/>
      <c r="P132" s="15" t="s">
        <v>76</v>
      </c>
      <c r="Q132" s="10">
        <v>0</v>
      </c>
    </row>
    <row r="133" spans="1:17" x14ac:dyDescent="0.25">
      <c r="A133" s="15"/>
      <c r="B133" s="5" t="s">
        <v>225</v>
      </c>
      <c r="C133" s="5" t="s">
        <v>52</v>
      </c>
      <c r="D133" s="17" t="s">
        <v>79</v>
      </c>
      <c r="E133" s="26">
        <v>800</v>
      </c>
      <c r="F133" s="7">
        <v>2700</v>
      </c>
      <c r="G133" s="7">
        <v>4500</v>
      </c>
      <c r="H133" s="16">
        <v>0.66666666666666663</v>
      </c>
      <c r="I133" s="6"/>
      <c r="J133" s="7">
        <v>4000</v>
      </c>
      <c r="K133" s="7"/>
      <c r="L133" s="6">
        <v>0</v>
      </c>
      <c r="M133" s="6">
        <v>0</v>
      </c>
      <c r="N133" s="6">
        <v>0</v>
      </c>
      <c r="O133" s="9"/>
      <c r="P133" s="15" t="s">
        <v>76</v>
      </c>
      <c r="Q133" s="10">
        <v>0</v>
      </c>
    </row>
    <row r="134" spans="1:17" x14ac:dyDescent="0.25">
      <c r="A134" s="15"/>
      <c r="B134" s="5" t="s">
        <v>226</v>
      </c>
      <c r="C134" s="5" t="s">
        <v>52</v>
      </c>
      <c r="D134" s="17" t="s">
        <v>79</v>
      </c>
      <c r="E134" s="26">
        <v>1200</v>
      </c>
      <c r="F134" s="7">
        <v>4700</v>
      </c>
      <c r="G134" s="7">
        <v>6700</v>
      </c>
      <c r="H134" s="16">
        <v>0.42553191489361702</v>
      </c>
      <c r="I134" s="6"/>
      <c r="J134" s="7">
        <v>6000</v>
      </c>
      <c r="K134" s="7"/>
      <c r="L134" s="6">
        <v>0</v>
      </c>
      <c r="M134" s="6">
        <v>0</v>
      </c>
      <c r="N134" s="6">
        <v>0</v>
      </c>
      <c r="O134" s="9"/>
      <c r="P134" s="15" t="s">
        <v>76</v>
      </c>
      <c r="Q134" s="10">
        <v>0</v>
      </c>
    </row>
    <row r="135" spans="1:17" x14ac:dyDescent="0.25">
      <c r="A135" s="15"/>
      <c r="B135" s="5" t="s">
        <v>227</v>
      </c>
      <c r="C135" s="5" t="s">
        <v>52</v>
      </c>
      <c r="D135" s="17" t="s">
        <v>79</v>
      </c>
      <c r="E135" s="26">
        <v>1500</v>
      </c>
      <c r="F135" s="7">
        <v>5700</v>
      </c>
      <c r="G135" s="7">
        <v>8000</v>
      </c>
      <c r="H135" s="16">
        <v>0.40350877192982448</v>
      </c>
      <c r="I135" s="6"/>
      <c r="J135" s="7">
        <v>7500</v>
      </c>
      <c r="K135" s="7"/>
      <c r="L135" s="6">
        <v>0</v>
      </c>
      <c r="M135" s="6">
        <v>0</v>
      </c>
      <c r="N135" s="6">
        <v>0</v>
      </c>
      <c r="O135" s="9"/>
      <c r="P135" s="15" t="s">
        <v>76</v>
      </c>
      <c r="Q135" s="7">
        <v>0</v>
      </c>
    </row>
    <row r="136" spans="1:17" x14ac:dyDescent="0.25">
      <c r="A136" s="15"/>
      <c r="B136" s="5" t="s">
        <v>228</v>
      </c>
      <c r="C136" s="5" t="s">
        <v>52</v>
      </c>
      <c r="D136" s="17" t="s">
        <v>79</v>
      </c>
      <c r="E136" s="26">
        <v>700</v>
      </c>
      <c r="F136" s="7">
        <v>1400</v>
      </c>
      <c r="G136" s="7">
        <v>3500</v>
      </c>
      <c r="H136" s="16">
        <v>1.5</v>
      </c>
      <c r="I136" s="6"/>
      <c r="J136" s="7">
        <v>3000</v>
      </c>
      <c r="K136" s="7"/>
      <c r="L136" s="6">
        <v>0</v>
      </c>
      <c r="M136" s="6">
        <v>0</v>
      </c>
      <c r="N136" s="6">
        <v>0</v>
      </c>
      <c r="O136" s="9"/>
      <c r="P136" s="15" t="s">
        <v>76</v>
      </c>
      <c r="Q136" s="7">
        <v>0</v>
      </c>
    </row>
    <row r="137" spans="1:17" x14ac:dyDescent="0.25">
      <c r="A137" s="15"/>
      <c r="B137" s="5" t="s">
        <v>229</v>
      </c>
      <c r="C137" s="5" t="s">
        <v>52</v>
      </c>
      <c r="D137" s="17" t="s">
        <v>79</v>
      </c>
      <c r="E137" s="26">
        <v>500</v>
      </c>
      <c r="F137" s="7">
        <v>1150</v>
      </c>
      <c r="G137" s="7">
        <v>2500</v>
      </c>
      <c r="H137" s="16">
        <v>1.173913043478261</v>
      </c>
      <c r="I137" s="6"/>
      <c r="J137" s="7">
        <v>2200</v>
      </c>
      <c r="K137" s="7"/>
      <c r="L137" s="6">
        <v>0</v>
      </c>
      <c r="M137" s="6">
        <v>0</v>
      </c>
      <c r="N137" s="6">
        <v>0</v>
      </c>
      <c r="O137" s="9"/>
      <c r="P137" s="15" t="s">
        <v>76</v>
      </c>
      <c r="Q137" s="7">
        <v>0</v>
      </c>
    </row>
    <row r="138" spans="1:17" x14ac:dyDescent="0.25">
      <c r="A138" s="15"/>
      <c r="B138" s="5" t="s">
        <v>230</v>
      </c>
      <c r="C138" s="5" t="s">
        <v>52</v>
      </c>
      <c r="D138" s="17" t="s">
        <v>79</v>
      </c>
      <c r="E138" s="26">
        <v>500</v>
      </c>
      <c r="F138" s="7">
        <v>500</v>
      </c>
      <c r="G138" s="7">
        <v>1500</v>
      </c>
      <c r="H138" s="16">
        <v>2</v>
      </c>
      <c r="I138" s="6"/>
      <c r="J138" s="7"/>
      <c r="K138" s="7"/>
      <c r="L138" s="6">
        <v>0</v>
      </c>
      <c r="M138" s="6">
        <v>0</v>
      </c>
      <c r="N138" s="6">
        <v>0</v>
      </c>
      <c r="O138" s="9"/>
      <c r="P138" s="15" t="s">
        <v>76</v>
      </c>
      <c r="Q138" s="7">
        <v>0</v>
      </c>
    </row>
    <row r="139" spans="1:17" x14ac:dyDescent="0.25">
      <c r="A139" s="15"/>
      <c r="B139" s="5" t="s">
        <v>231</v>
      </c>
      <c r="C139" s="5" t="s">
        <v>52</v>
      </c>
      <c r="D139" s="17" t="s">
        <v>79</v>
      </c>
      <c r="E139" s="26">
        <v>500</v>
      </c>
      <c r="F139" s="7">
        <v>800</v>
      </c>
      <c r="G139" s="7">
        <v>2000</v>
      </c>
      <c r="H139" s="16">
        <v>1.5</v>
      </c>
      <c r="I139" s="6"/>
      <c r="J139" s="7"/>
      <c r="K139" s="7"/>
      <c r="L139" s="6">
        <v>0</v>
      </c>
      <c r="M139" s="6">
        <v>0</v>
      </c>
      <c r="N139" s="6">
        <v>0</v>
      </c>
      <c r="O139" s="9"/>
      <c r="P139" s="15" t="s">
        <v>76</v>
      </c>
      <c r="Q139" s="7">
        <v>0</v>
      </c>
    </row>
    <row r="140" spans="1:17" x14ac:dyDescent="0.25">
      <c r="A140" s="17" t="s">
        <v>29</v>
      </c>
      <c r="B140" s="8" t="s">
        <v>232</v>
      </c>
      <c r="C140" s="8" t="s">
        <v>50</v>
      </c>
      <c r="D140" s="17" t="s">
        <v>59</v>
      </c>
      <c r="E140" s="26"/>
      <c r="F140" s="10">
        <v>250</v>
      </c>
      <c r="G140" s="10">
        <v>320</v>
      </c>
      <c r="H140" s="18">
        <v>0.28000000000000003</v>
      </c>
      <c r="I140" s="9">
        <v>1200</v>
      </c>
      <c r="J140" s="7"/>
      <c r="K140" s="7"/>
      <c r="L140" s="6">
        <v>0</v>
      </c>
      <c r="M140" s="6">
        <v>500</v>
      </c>
      <c r="N140" s="6">
        <v>700</v>
      </c>
      <c r="O140" s="9">
        <v>200</v>
      </c>
      <c r="P140" s="15" t="s">
        <v>81</v>
      </c>
      <c r="Q140" s="10">
        <v>175000</v>
      </c>
    </row>
    <row r="141" spans="1:17" x14ac:dyDescent="0.25">
      <c r="A141" s="15" t="s">
        <v>233</v>
      </c>
      <c r="B141" s="5" t="s">
        <v>234</v>
      </c>
      <c r="C141" s="5" t="s">
        <v>52</v>
      </c>
      <c r="D141" s="15" t="s">
        <v>59</v>
      </c>
      <c r="E141" s="26"/>
      <c r="F141" s="7">
        <v>8500</v>
      </c>
      <c r="G141" s="7">
        <v>12000</v>
      </c>
      <c r="H141" s="16">
        <v>0.41176470588235292</v>
      </c>
      <c r="I141" s="6">
        <v>12</v>
      </c>
      <c r="J141" s="7"/>
      <c r="K141" s="7"/>
      <c r="L141" s="6">
        <v>0</v>
      </c>
      <c r="M141" s="6">
        <v>0</v>
      </c>
      <c r="N141" s="6">
        <v>12</v>
      </c>
      <c r="O141" s="6">
        <v>3</v>
      </c>
      <c r="P141" s="15" t="s">
        <v>81</v>
      </c>
      <c r="Q141" s="10">
        <v>102000</v>
      </c>
    </row>
    <row r="142" spans="1:17" x14ac:dyDescent="0.25">
      <c r="A142" s="17" t="s">
        <v>235</v>
      </c>
      <c r="B142" s="8" t="s">
        <v>236</v>
      </c>
      <c r="C142" s="8" t="s">
        <v>53</v>
      </c>
      <c r="D142" s="17" t="s">
        <v>59</v>
      </c>
      <c r="E142" s="26"/>
      <c r="F142" s="10">
        <v>2200</v>
      </c>
      <c r="G142" s="10">
        <v>3100</v>
      </c>
      <c r="H142" s="18">
        <v>0.40909090909090912</v>
      </c>
      <c r="I142" s="9">
        <v>45</v>
      </c>
      <c r="J142" s="7"/>
      <c r="K142" s="7"/>
      <c r="L142" s="6">
        <v>0</v>
      </c>
      <c r="M142" s="6">
        <v>0</v>
      </c>
      <c r="N142" s="6">
        <v>45</v>
      </c>
      <c r="O142" s="9">
        <v>10</v>
      </c>
      <c r="P142" s="15" t="s">
        <v>81</v>
      </c>
      <c r="Q142" s="10">
        <v>99000</v>
      </c>
    </row>
    <row r="143" spans="1:17" x14ac:dyDescent="0.25">
      <c r="A143" s="15" t="s">
        <v>237</v>
      </c>
      <c r="B143" s="5" t="s">
        <v>238</v>
      </c>
      <c r="C143" s="5" t="s">
        <v>54</v>
      </c>
      <c r="D143" s="15" t="s">
        <v>59</v>
      </c>
      <c r="E143" s="26"/>
      <c r="F143" s="7">
        <v>7500</v>
      </c>
      <c r="G143" s="7">
        <v>10500</v>
      </c>
      <c r="H143" s="16">
        <v>0.4</v>
      </c>
      <c r="I143" s="6">
        <v>8</v>
      </c>
      <c r="J143" s="7"/>
      <c r="K143" s="7"/>
      <c r="L143" s="6">
        <v>0</v>
      </c>
      <c r="M143" s="6">
        <v>0</v>
      </c>
      <c r="N143" s="6">
        <v>8</v>
      </c>
      <c r="O143" s="6">
        <v>2</v>
      </c>
      <c r="P143" s="15" t="s">
        <v>81</v>
      </c>
      <c r="Q143" s="10">
        <v>60000</v>
      </c>
    </row>
    <row r="144" spans="1:17" x14ac:dyDescent="0.25">
      <c r="A144" s="17" t="s">
        <v>239</v>
      </c>
      <c r="B144" s="8" t="s">
        <v>240</v>
      </c>
      <c r="C144" s="8" t="s">
        <v>50</v>
      </c>
      <c r="D144" s="17" t="s">
        <v>75</v>
      </c>
      <c r="E144" s="26"/>
      <c r="F144" s="10">
        <v>1800</v>
      </c>
      <c r="G144" s="10">
        <v>2400</v>
      </c>
      <c r="H144" s="18">
        <v>0.33333333333333331</v>
      </c>
      <c r="I144" s="9">
        <v>80</v>
      </c>
      <c r="J144" s="7"/>
      <c r="K144" s="7"/>
      <c r="L144" s="6">
        <v>0</v>
      </c>
      <c r="M144" s="6">
        <v>0</v>
      </c>
      <c r="N144" s="6">
        <v>80</v>
      </c>
      <c r="O144" s="9">
        <v>15</v>
      </c>
      <c r="P144" s="15" t="s">
        <v>81</v>
      </c>
      <c r="Q144" s="10">
        <v>144000</v>
      </c>
    </row>
    <row r="145" spans="1:17" x14ac:dyDescent="0.25">
      <c r="A145" s="23" t="s">
        <v>241</v>
      </c>
      <c r="B145" s="24" t="s">
        <v>242</v>
      </c>
      <c r="C145" s="5" t="s">
        <v>54</v>
      </c>
      <c r="D145" s="25" t="s">
        <v>59</v>
      </c>
      <c r="E145" s="26"/>
      <c r="F145" s="26">
        <v>1500</v>
      </c>
      <c r="G145" s="26">
        <v>3000</v>
      </c>
      <c r="H145" s="16">
        <v>1</v>
      </c>
      <c r="I145" s="27">
        <v>4</v>
      </c>
      <c r="J145" s="26">
        <v>2500</v>
      </c>
      <c r="L145" s="6">
        <v>0</v>
      </c>
      <c r="M145" s="6">
        <v>0</v>
      </c>
      <c r="N145" s="6">
        <v>4</v>
      </c>
      <c r="P145" s="15" t="s">
        <v>81</v>
      </c>
      <c r="Q145" s="10">
        <v>6000</v>
      </c>
    </row>
    <row r="146" spans="1:17" x14ac:dyDescent="0.25">
      <c r="A146" s="23" t="s">
        <v>243</v>
      </c>
      <c r="B146" s="24" t="s">
        <v>244</v>
      </c>
      <c r="C146" s="5" t="s">
        <v>54</v>
      </c>
      <c r="D146" s="25" t="s">
        <v>59</v>
      </c>
      <c r="E146" s="26"/>
      <c r="F146" s="26">
        <v>1000</v>
      </c>
      <c r="G146" s="26">
        <v>1500</v>
      </c>
      <c r="H146" s="16">
        <v>0.5</v>
      </c>
      <c r="J146" s="26">
        <v>1500</v>
      </c>
      <c r="L146" s="6">
        <v>0</v>
      </c>
      <c r="M146" s="6">
        <v>0</v>
      </c>
      <c r="N146" s="6">
        <v>0</v>
      </c>
      <c r="P146" s="15" t="s">
        <v>76</v>
      </c>
      <c r="Q146" s="10">
        <v>0</v>
      </c>
    </row>
    <row r="147" spans="1:17" x14ac:dyDescent="0.25">
      <c r="A147" s="23" t="s">
        <v>243</v>
      </c>
      <c r="B147" s="24" t="s">
        <v>245</v>
      </c>
      <c r="C147" s="5" t="s">
        <v>54</v>
      </c>
      <c r="D147" s="25" t="s">
        <v>59</v>
      </c>
      <c r="E147" s="26"/>
      <c r="F147" s="26">
        <v>50</v>
      </c>
      <c r="G147" s="26">
        <v>200</v>
      </c>
      <c r="H147" s="16">
        <v>3</v>
      </c>
      <c r="I147" s="27">
        <v>50</v>
      </c>
      <c r="J147" s="26">
        <v>150</v>
      </c>
      <c r="L147" s="6">
        <v>0</v>
      </c>
      <c r="M147" s="6">
        <v>0</v>
      </c>
      <c r="N147" s="6">
        <v>50</v>
      </c>
      <c r="P147" s="15" t="s">
        <v>81</v>
      </c>
      <c r="Q147" s="10">
        <v>2500</v>
      </c>
    </row>
    <row r="148" spans="1:17" x14ac:dyDescent="0.25">
      <c r="A148" s="23" t="s">
        <v>243</v>
      </c>
      <c r="B148" s="24" t="s">
        <v>246</v>
      </c>
      <c r="C148" s="5" t="s">
        <v>54</v>
      </c>
      <c r="D148" s="25" t="s">
        <v>59</v>
      </c>
      <c r="E148" s="26"/>
      <c r="F148" s="26">
        <v>15</v>
      </c>
      <c r="G148" s="26">
        <v>50</v>
      </c>
      <c r="H148" s="16">
        <v>2.333333333333333</v>
      </c>
      <c r="I148" s="27">
        <v>90</v>
      </c>
      <c r="J148" s="26">
        <v>25</v>
      </c>
      <c r="L148" s="6">
        <v>0</v>
      </c>
      <c r="M148" s="6">
        <v>0</v>
      </c>
      <c r="N148" s="6">
        <v>90</v>
      </c>
      <c r="P148" s="15" t="s">
        <v>81</v>
      </c>
      <c r="Q148" s="10">
        <v>1350</v>
      </c>
    </row>
    <row r="149" spans="1:17" x14ac:dyDescent="0.25">
      <c r="A149" s="23" t="s">
        <v>241</v>
      </c>
      <c r="B149" s="24" t="s">
        <v>247</v>
      </c>
      <c r="C149" s="5" t="s">
        <v>54</v>
      </c>
      <c r="D149" s="25" t="s">
        <v>59</v>
      </c>
      <c r="E149" s="26"/>
      <c r="F149" s="26">
        <v>1000</v>
      </c>
      <c r="G149" s="26">
        <v>1500</v>
      </c>
      <c r="H149" s="16">
        <v>0.5</v>
      </c>
      <c r="I149" s="27">
        <v>2</v>
      </c>
      <c r="J149" s="26">
        <v>1500</v>
      </c>
      <c r="L149" s="6">
        <v>0</v>
      </c>
      <c r="M149" s="6">
        <v>0</v>
      </c>
      <c r="N149" s="6">
        <v>2</v>
      </c>
      <c r="P149" s="15" t="s">
        <v>81</v>
      </c>
      <c r="Q149" s="10">
        <v>2000</v>
      </c>
    </row>
    <row r="150" spans="1:17" x14ac:dyDescent="0.25">
      <c r="A150" s="23" t="s">
        <v>241</v>
      </c>
      <c r="B150" s="24" t="s">
        <v>248</v>
      </c>
      <c r="C150" s="5" t="s">
        <v>54</v>
      </c>
      <c r="D150" s="25" t="s">
        <v>59</v>
      </c>
      <c r="E150" s="26"/>
      <c r="F150" s="26">
        <v>1200</v>
      </c>
      <c r="G150" s="26">
        <v>2000</v>
      </c>
      <c r="H150" s="16">
        <v>0.66666666666666663</v>
      </c>
      <c r="I150" s="27">
        <v>4</v>
      </c>
      <c r="J150" s="26">
        <v>1700</v>
      </c>
      <c r="L150" s="6">
        <v>0</v>
      </c>
      <c r="M150" s="6">
        <v>0</v>
      </c>
      <c r="N150" s="6">
        <v>4</v>
      </c>
      <c r="P150" s="15" t="s">
        <v>81</v>
      </c>
      <c r="Q150" s="10">
        <v>4800</v>
      </c>
    </row>
    <row r="151" spans="1:17" x14ac:dyDescent="0.25">
      <c r="A151" s="23" t="s">
        <v>243</v>
      </c>
      <c r="B151" s="24" t="s">
        <v>249</v>
      </c>
      <c r="C151" s="5" t="s">
        <v>54</v>
      </c>
      <c r="D151" s="25" t="s">
        <v>59</v>
      </c>
      <c r="E151" s="26"/>
      <c r="F151" s="26">
        <v>1000</v>
      </c>
      <c r="G151" s="26">
        <v>2500</v>
      </c>
      <c r="H151" s="16">
        <v>1.5</v>
      </c>
      <c r="I151" s="27">
        <v>3</v>
      </c>
      <c r="J151" s="26">
        <v>2000</v>
      </c>
      <c r="L151" s="6">
        <v>0</v>
      </c>
      <c r="M151" s="6">
        <v>0</v>
      </c>
      <c r="N151" s="6">
        <v>3</v>
      </c>
      <c r="P151" s="15" t="s">
        <v>81</v>
      </c>
      <c r="Q151" s="10">
        <v>3000</v>
      </c>
    </row>
    <row r="152" spans="1:17" x14ac:dyDescent="0.25">
      <c r="A152" s="23" t="s">
        <v>243</v>
      </c>
      <c r="B152" s="24" t="s">
        <v>250</v>
      </c>
      <c r="C152" s="5" t="s">
        <v>54</v>
      </c>
      <c r="D152" s="25" t="s">
        <v>59</v>
      </c>
      <c r="E152" s="26"/>
      <c r="F152" s="26">
        <v>700</v>
      </c>
      <c r="G152" s="26">
        <v>1000</v>
      </c>
      <c r="H152" s="16">
        <v>0.42857142857142849</v>
      </c>
      <c r="I152" s="27">
        <v>2</v>
      </c>
      <c r="J152" s="26">
        <v>1000</v>
      </c>
      <c r="L152" s="6">
        <v>0</v>
      </c>
      <c r="M152" s="6">
        <v>0</v>
      </c>
      <c r="N152" s="6">
        <v>2</v>
      </c>
      <c r="P152" s="15" t="s">
        <v>81</v>
      </c>
      <c r="Q152" s="10">
        <v>1400</v>
      </c>
    </row>
    <row r="153" spans="1:17" x14ac:dyDescent="0.25">
      <c r="B153" s="24" t="s">
        <v>251</v>
      </c>
      <c r="C153" s="5" t="s">
        <v>54</v>
      </c>
      <c r="D153" s="25" t="s">
        <v>59</v>
      </c>
      <c r="E153" s="26"/>
      <c r="F153" s="26">
        <v>500</v>
      </c>
      <c r="G153" s="26">
        <v>1000</v>
      </c>
      <c r="H153" s="16">
        <v>1</v>
      </c>
      <c r="I153" s="27">
        <v>5</v>
      </c>
      <c r="J153" s="26">
        <v>1000</v>
      </c>
      <c r="L153" s="6">
        <v>0</v>
      </c>
      <c r="M153" s="6">
        <v>0</v>
      </c>
      <c r="N153" s="6">
        <v>5</v>
      </c>
      <c r="P153" s="15" t="s">
        <v>81</v>
      </c>
      <c r="Q153" s="10">
        <v>2500</v>
      </c>
    </row>
    <row r="154" spans="1:17" x14ac:dyDescent="0.25">
      <c r="A154" s="28" t="s">
        <v>252</v>
      </c>
      <c r="B154" s="24" t="s">
        <v>253</v>
      </c>
      <c r="C154" s="5" t="s">
        <v>54</v>
      </c>
      <c r="D154" s="25" t="s">
        <v>59</v>
      </c>
      <c r="E154" s="26"/>
      <c r="F154" s="26">
        <v>700</v>
      </c>
      <c r="G154" s="26">
        <v>1200</v>
      </c>
      <c r="H154" s="16">
        <v>0.7142857142857143</v>
      </c>
      <c r="I154" s="27">
        <v>4</v>
      </c>
      <c r="J154" s="26">
        <v>1000</v>
      </c>
      <c r="L154" s="6">
        <v>0</v>
      </c>
      <c r="M154" s="6">
        <v>0</v>
      </c>
      <c r="N154" s="6">
        <v>4</v>
      </c>
      <c r="P154" s="15" t="s">
        <v>81</v>
      </c>
      <c r="Q154" s="10">
        <v>2800</v>
      </c>
    </row>
    <row r="155" spans="1:17" x14ac:dyDescent="0.25">
      <c r="A155" s="28" t="s">
        <v>241</v>
      </c>
      <c r="B155" s="24" t="s">
        <v>251</v>
      </c>
      <c r="C155" s="5" t="s">
        <v>54</v>
      </c>
      <c r="D155" s="25" t="s">
        <v>59</v>
      </c>
      <c r="E155" s="26"/>
      <c r="F155" s="26">
        <v>1000</v>
      </c>
      <c r="G155" s="26">
        <v>2000</v>
      </c>
      <c r="H155" s="16">
        <v>1</v>
      </c>
      <c r="I155" s="27">
        <v>3</v>
      </c>
      <c r="J155" s="26">
        <v>1500</v>
      </c>
      <c r="L155" s="6">
        <v>0</v>
      </c>
      <c r="M155" s="6">
        <v>0</v>
      </c>
      <c r="N155" s="6">
        <v>3</v>
      </c>
      <c r="P155" s="15" t="s">
        <v>81</v>
      </c>
      <c r="Q155" s="10">
        <v>3000</v>
      </c>
    </row>
    <row r="156" spans="1:17" x14ac:dyDescent="0.25">
      <c r="A156" s="28" t="s">
        <v>243</v>
      </c>
      <c r="B156" s="24" t="s">
        <v>254</v>
      </c>
      <c r="C156" s="5" t="s">
        <v>54</v>
      </c>
      <c r="D156" s="25" t="s">
        <v>255</v>
      </c>
      <c r="E156" s="26"/>
      <c r="F156" s="26">
        <v>2000</v>
      </c>
      <c r="G156" s="26">
        <v>3500</v>
      </c>
      <c r="H156" s="16">
        <v>0.75</v>
      </c>
      <c r="I156" s="27">
        <v>1</v>
      </c>
      <c r="J156" s="26">
        <v>3000</v>
      </c>
      <c r="L156" s="6">
        <v>0</v>
      </c>
      <c r="M156" s="6">
        <v>0</v>
      </c>
      <c r="N156" s="6">
        <v>1</v>
      </c>
      <c r="P156" s="15" t="s">
        <v>81</v>
      </c>
      <c r="Q156" s="10">
        <v>2000</v>
      </c>
    </row>
    <row r="157" spans="1:17" x14ac:dyDescent="0.25">
      <c r="A157" s="28" t="s">
        <v>243</v>
      </c>
      <c r="B157" s="24" t="s">
        <v>254</v>
      </c>
      <c r="C157" s="5" t="s">
        <v>54</v>
      </c>
      <c r="D157" s="25" t="s">
        <v>255</v>
      </c>
      <c r="E157" s="26"/>
      <c r="F157" s="26">
        <v>5000</v>
      </c>
      <c r="G157" s="26">
        <v>9000</v>
      </c>
      <c r="H157" s="16">
        <v>0.8</v>
      </c>
      <c r="I157" s="27">
        <v>1</v>
      </c>
      <c r="J157" s="26">
        <v>8000</v>
      </c>
      <c r="L157" s="6">
        <v>0</v>
      </c>
      <c r="M157" s="6">
        <v>0</v>
      </c>
      <c r="N157" s="6">
        <v>1</v>
      </c>
      <c r="P157" s="15" t="s">
        <v>81</v>
      </c>
      <c r="Q157" s="10">
        <v>5000</v>
      </c>
    </row>
    <row r="158" spans="1:17" x14ac:dyDescent="0.25">
      <c r="A158" s="28" t="s">
        <v>243</v>
      </c>
      <c r="B158" s="24" t="s">
        <v>256</v>
      </c>
      <c r="C158" s="5" t="s">
        <v>54</v>
      </c>
      <c r="D158" s="25" t="s">
        <v>255</v>
      </c>
      <c r="E158" s="26"/>
      <c r="F158" s="26">
        <v>5500</v>
      </c>
      <c r="G158" s="26">
        <v>10000</v>
      </c>
      <c r="H158" s="16">
        <v>0.81818181818181823</v>
      </c>
      <c r="I158" s="27">
        <v>1</v>
      </c>
      <c r="J158" s="26">
        <v>9000</v>
      </c>
      <c r="L158" s="6">
        <v>0</v>
      </c>
      <c r="M158" s="6">
        <v>0</v>
      </c>
      <c r="N158" s="6">
        <v>1</v>
      </c>
      <c r="P158" s="15" t="s">
        <v>81</v>
      </c>
      <c r="Q158" s="10">
        <v>5500</v>
      </c>
    </row>
    <row r="159" spans="1:17" x14ac:dyDescent="0.25">
      <c r="B159" s="24" t="s">
        <v>257</v>
      </c>
      <c r="C159" s="5" t="s">
        <v>54</v>
      </c>
      <c r="D159" s="25" t="s">
        <v>59</v>
      </c>
      <c r="E159" s="26"/>
      <c r="F159" s="26">
        <v>3300</v>
      </c>
      <c r="G159" s="26">
        <v>8000</v>
      </c>
      <c r="H159" s="16">
        <v>1.4242424242424241</v>
      </c>
      <c r="I159" s="27">
        <v>3</v>
      </c>
      <c r="J159" s="26">
        <v>6000</v>
      </c>
      <c r="L159" s="6">
        <v>0</v>
      </c>
      <c r="M159" s="6">
        <v>0</v>
      </c>
      <c r="N159" s="6">
        <v>3</v>
      </c>
      <c r="P159" s="15" t="s">
        <v>81</v>
      </c>
      <c r="Q159" s="10">
        <v>9900</v>
      </c>
    </row>
    <row r="160" spans="1:17" x14ac:dyDescent="0.25">
      <c r="A160" s="28" t="s">
        <v>258</v>
      </c>
      <c r="B160" s="24" t="s">
        <v>259</v>
      </c>
      <c r="C160" s="5" t="s">
        <v>54</v>
      </c>
      <c r="D160" s="25" t="s">
        <v>59</v>
      </c>
      <c r="E160" s="26"/>
      <c r="F160" s="26">
        <v>4500</v>
      </c>
      <c r="G160" s="26">
        <v>10000</v>
      </c>
      <c r="H160" s="16">
        <v>1.2222222222222221</v>
      </c>
      <c r="I160" s="27">
        <v>1</v>
      </c>
      <c r="J160" s="26">
        <v>8500</v>
      </c>
      <c r="L160" s="6">
        <v>0</v>
      </c>
      <c r="M160" s="6">
        <v>0</v>
      </c>
      <c r="N160" s="6">
        <v>1</v>
      </c>
      <c r="P160" s="15" t="s">
        <v>81</v>
      </c>
      <c r="Q160" s="10">
        <v>4500</v>
      </c>
    </row>
    <row r="161" spans="1:17" x14ac:dyDescent="0.25">
      <c r="A161" s="28" t="s">
        <v>260</v>
      </c>
      <c r="B161" s="24" t="s">
        <v>259</v>
      </c>
      <c r="C161" s="24" t="s">
        <v>54</v>
      </c>
      <c r="D161" s="25" t="s">
        <v>59</v>
      </c>
      <c r="E161" s="26"/>
      <c r="F161" s="26">
        <v>3500</v>
      </c>
      <c r="G161" s="26">
        <v>8000</v>
      </c>
      <c r="H161" s="16">
        <v>1.285714285714286</v>
      </c>
      <c r="I161" s="27">
        <v>1</v>
      </c>
      <c r="J161" s="26">
        <v>6500</v>
      </c>
      <c r="L161" s="6">
        <v>0</v>
      </c>
      <c r="M161" s="6">
        <v>0</v>
      </c>
      <c r="N161" s="6">
        <v>1</v>
      </c>
      <c r="P161" s="15" t="s">
        <v>81</v>
      </c>
      <c r="Q161" s="10">
        <v>3500</v>
      </c>
    </row>
    <row r="162" spans="1:17" x14ac:dyDescent="0.25">
      <c r="A162" s="28" t="s">
        <v>243</v>
      </c>
      <c r="B162" s="24" t="s">
        <v>261</v>
      </c>
      <c r="C162" s="24" t="s">
        <v>54</v>
      </c>
      <c r="D162" s="25" t="s">
        <v>59</v>
      </c>
      <c r="E162" s="26"/>
      <c r="F162" s="26">
        <v>2300</v>
      </c>
      <c r="G162" s="26">
        <v>7000</v>
      </c>
      <c r="H162" s="16">
        <v>2.043478260869565</v>
      </c>
      <c r="I162" s="27">
        <v>2</v>
      </c>
      <c r="J162" s="26">
        <v>5000</v>
      </c>
      <c r="L162" s="6">
        <v>0</v>
      </c>
      <c r="M162" s="6">
        <v>0</v>
      </c>
      <c r="N162" s="6">
        <v>2</v>
      </c>
      <c r="P162" s="15" t="s">
        <v>81</v>
      </c>
      <c r="Q162" s="10">
        <v>4600</v>
      </c>
    </row>
    <row r="163" spans="1:17" x14ac:dyDescent="0.25">
      <c r="A163" s="28" t="s">
        <v>243</v>
      </c>
      <c r="B163" s="24" t="s">
        <v>262</v>
      </c>
      <c r="C163" s="24" t="s">
        <v>54</v>
      </c>
      <c r="D163" s="25" t="s">
        <v>59</v>
      </c>
      <c r="E163" s="26"/>
      <c r="F163" s="26">
        <v>2000</v>
      </c>
      <c r="G163" s="26">
        <v>5000</v>
      </c>
      <c r="H163" s="16">
        <v>1.5</v>
      </c>
      <c r="I163" s="27">
        <v>2</v>
      </c>
      <c r="J163" s="26">
        <v>4000</v>
      </c>
      <c r="L163" s="6">
        <v>0</v>
      </c>
      <c r="M163" s="6">
        <v>0</v>
      </c>
      <c r="N163" s="6">
        <v>2</v>
      </c>
      <c r="P163" s="15" t="s">
        <v>81</v>
      </c>
      <c r="Q163" s="10">
        <v>4000</v>
      </c>
    </row>
    <row r="164" spans="1:17" x14ac:dyDescent="0.25">
      <c r="A164" s="28" t="s">
        <v>243</v>
      </c>
      <c r="B164" s="24" t="s">
        <v>263</v>
      </c>
      <c r="C164" s="24" t="s">
        <v>54</v>
      </c>
      <c r="D164" s="25" t="s">
        <v>59</v>
      </c>
      <c r="E164" s="26"/>
      <c r="F164" s="26">
        <v>2500</v>
      </c>
      <c r="G164" s="26">
        <v>7000</v>
      </c>
      <c r="H164" s="16">
        <v>1.8</v>
      </c>
      <c r="I164" s="27">
        <v>2</v>
      </c>
      <c r="J164" s="26">
        <v>5000</v>
      </c>
      <c r="L164" s="6">
        <v>0</v>
      </c>
      <c r="M164" s="6">
        <v>0</v>
      </c>
      <c r="N164" s="6">
        <v>2</v>
      </c>
      <c r="P164" s="15" t="s">
        <v>81</v>
      </c>
      <c r="Q164" s="10">
        <v>5000</v>
      </c>
    </row>
    <row r="165" spans="1:17" x14ac:dyDescent="0.25">
      <c r="A165" s="28" t="s">
        <v>86</v>
      </c>
      <c r="B165" s="24" t="s">
        <v>264</v>
      </c>
      <c r="C165" s="8" t="s">
        <v>53</v>
      </c>
      <c r="D165" s="25" t="s">
        <v>88</v>
      </c>
      <c r="E165" s="26"/>
      <c r="F165" s="26">
        <v>20000</v>
      </c>
      <c r="G165" s="26">
        <v>23000</v>
      </c>
      <c r="H165" s="16">
        <v>0.15</v>
      </c>
      <c r="I165" s="27">
        <v>1</v>
      </c>
      <c r="J165" s="26">
        <v>22500</v>
      </c>
      <c r="L165" s="6">
        <v>0</v>
      </c>
      <c r="M165" s="6">
        <v>0</v>
      </c>
      <c r="N165" s="6">
        <v>1</v>
      </c>
      <c r="P165" s="15" t="s">
        <v>81</v>
      </c>
      <c r="Q165" s="10">
        <v>20000</v>
      </c>
    </row>
    <row r="166" spans="1:17" x14ac:dyDescent="0.25">
      <c r="A166" s="28" t="s">
        <v>86</v>
      </c>
      <c r="B166" s="24" t="s">
        <v>265</v>
      </c>
      <c r="C166" s="8" t="s">
        <v>53</v>
      </c>
      <c r="D166" s="25" t="s">
        <v>88</v>
      </c>
      <c r="E166" s="26"/>
      <c r="F166" s="26">
        <v>24000</v>
      </c>
      <c r="G166" s="26">
        <v>26000</v>
      </c>
      <c r="H166" s="16">
        <v>8.3333333333333329E-2</v>
      </c>
      <c r="I166" s="27">
        <v>1</v>
      </c>
      <c r="J166" s="26">
        <v>26000</v>
      </c>
      <c r="L166" s="6">
        <v>0</v>
      </c>
      <c r="M166" s="6">
        <v>0</v>
      </c>
      <c r="N166" s="6">
        <v>1</v>
      </c>
      <c r="P166" s="15" t="s">
        <v>81</v>
      </c>
      <c r="Q166" s="10">
        <v>24000</v>
      </c>
    </row>
    <row r="167" spans="1:17" x14ac:dyDescent="0.25">
      <c r="A167" s="28" t="s">
        <v>92</v>
      </c>
      <c r="B167" s="24" t="s">
        <v>266</v>
      </c>
      <c r="C167" s="8" t="s">
        <v>53</v>
      </c>
      <c r="D167" s="25" t="s">
        <v>59</v>
      </c>
      <c r="E167" s="26"/>
      <c r="F167" s="26">
        <v>55</v>
      </c>
      <c r="G167" s="26">
        <v>100</v>
      </c>
      <c r="H167" s="16">
        <v>0.81818181818181823</v>
      </c>
      <c r="I167" s="27">
        <v>300</v>
      </c>
      <c r="J167" s="26">
        <v>95</v>
      </c>
      <c r="L167" s="6">
        <v>0</v>
      </c>
      <c r="M167" s="6">
        <v>0</v>
      </c>
      <c r="N167" s="6">
        <v>300</v>
      </c>
      <c r="P167" s="15" t="s">
        <v>81</v>
      </c>
      <c r="Q167" s="10">
        <v>16500</v>
      </c>
    </row>
    <row r="168" spans="1:17" x14ac:dyDescent="0.25">
      <c r="A168" s="28" t="s">
        <v>91</v>
      </c>
      <c r="B168" s="24" t="s">
        <v>267</v>
      </c>
      <c r="C168" s="29" t="s">
        <v>51</v>
      </c>
      <c r="D168" s="25" t="s">
        <v>59</v>
      </c>
      <c r="E168" s="26"/>
      <c r="F168" s="26">
        <v>850</v>
      </c>
      <c r="G168" s="26">
        <v>2000</v>
      </c>
      <c r="H168" s="16">
        <v>1.3529411764705881</v>
      </c>
      <c r="I168" s="27">
        <v>25</v>
      </c>
      <c r="J168" s="26">
        <v>1800</v>
      </c>
      <c r="L168" s="6">
        <v>0</v>
      </c>
      <c r="M168" s="6">
        <v>0</v>
      </c>
      <c r="N168" s="6">
        <v>25</v>
      </c>
      <c r="P168" s="15" t="s">
        <v>81</v>
      </c>
      <c r="Q168" s="10">
        <v>21250</v>
      </c>
    </row>
    <row r="169" spans="1:17" x14ac:dyDescent="0.25">
      <c r="A169" s="28" t="s">
        <v>268</v>
      </c>
      <c r="B169" s="24" t="s">
        <v>269</v>
      </c>
      <c r="C169" s="29" t="s">
        <v>51</v>
      </c>
      <c r="D169" s="25" t="s">
        <v>59</v>
      </c>
      <c r="E169" s="26"/>
      <c r="F169" s="26">
        <v>400</v>
      </c>
      <c r="G169" s="26">
        <v>1000</v>
      </c>
      <c r="H169" s="16">
        <v>1.5</v>
      </c>
      <c r="I169" s="27">
        <v>40</v>
      </c>
      <c r="J169" s="26">
        <v>800</v>
      </c>
      <c r="L169" s="6">
        <v>0</v>
      </c>
      <c r="M169" s="6">
        <v>0</v>
      </c>
      <c r="N169" s="6">
        <v>40</v>
      </c>
      <c r="P169" s="15" t="s">
        <v>81</v>
      </c>
      <c r="Q169" s="10">
        <v>16000</v>
      </c>
    </row>
    <row r="170" spans="1:17" x14ac:dyDescent="0.25">
      <c r="A170" s="28" t="s">
        <v>268</v>
      </c>
      <c r="B170" s="24" t="s">
        <v>270</v>
      </c>
      <c r="C170" s="29" t="s">
        <v>51</v>
      </c>
      <c r="D170" s="25" t="s">
        <v>59</v>
      </c>
      <c r="E170" s="26"/>
      <c r="F170" s="26">
        <v>400</v>
      </c>
      <c r="G170" s="26">
        <v>1000</v>
      </c>
      <c r="H170" s="16">
        <v>1.5</v>
      </c>
      <c r="J170" s="26">
        <v>800</v>
      </c>
      <c r="L170" s="6">
        <v>0</v>
      </c>
      <c r="M170" s="6">
        <v>0</v>
      </c>
      <c r="N170" s="6">
        <v>0</v>
      </c>
      <c r="P170" s="15" t="s">
        <v>76</v>
      </c>
      <c r="Q170" s="10">
        <v>0</v>
      </c>
    </row>
    <row r="171" spans="1:17" x14ac:dyDescent="0.25">
      <c r="A171" s="28" t="s">
        <v>268</v>
      </c>
      <c r="B171" s="24" t="s">
        <v>271</v>
      </c>
      <c r="C171" s="29" t="s">
        <v>51</v>
      </c>
      <c r="D171" s="25" t="s">
        <v>59</v>
      </c>
      <c r="E171" s="26"/>
      <c r="F171" s="26">
        <v>400</v>
      </c>
      <c r="G171" s="26">
        <v>1000</v>
      </c>
      <c r="H171" s="16">
        <v>1.5</v>
      </c>
      <c r="J171" s="26">
        <v>800</v>
      </c>
      <c r="L171" s="6">
        <v>0</v>
      </c>
      <c r="M171" s="6">
        <v>0</v>
      </c>
      <c r="N171" s="6">
        <v>0</v>
      </c>
      <c r="P171" s="15" t="s">
        <v>76</v>
      </c>
      <c r="Q171" s="10">
        <v>0</v>
      </c>
    </row>
    <row r="172" spans="1:17" x14ac:dyDescent="0.25">
      <c r="A172" s="28" t="s">
        <v>268</v>
      </c>
      <c r="B172" s="24" t="s">
        <v>272</v>
      </c>
      <c r="C172" s="29" t="s">
        <v>51</v>
      </c>
      <c r="D172" s="25" t="s">
        <v>59</v>
      </c>
      <c r="E172" s="26"/>
      <c r="F172" s="26">
        <v>400</v>
      </c>
      <c r="G172" s="26">
        <v>1000</v>
      </c>
      <c r="H172" s="16">
        <v>1.5</v>
      </c>
      <c r="J172" s="26">
        <v>800</v>
      </c>
      <c r="L172" s="6">
        <v>0</v>
      </c>
      <c r="M172" s="6">
        <v>0</v>
      </c>
      <c r="N172" s="6">
        <v>0</v>
      </c>
      <c r="P172" s="15" t="s">
        <v>76</v>
      </c>
      <c r="Q172" s="10">
        <v>0</v>
      </c>
    </row>
    <row r="173" spans="1:17" x14ac:dyDescent="0.25">
      <c r="A173" s="28" t="s">
        <v>268</v>
      </c>
      <c r="B173" s="24" t="s">
        <v>273</v>
      </c>
      <c r="C173" s="29" t="s">
        <v>51</v>
      </c>
      <c r="D173" s="25" t="s">
        <v>59</v>
      </c>
      <c r="E173" s="26"/>
      <c r="F173" s="26">
        <v>400</v>
      </c>
      <c r="G173" s="26">
        <v>1000</v>
      </c>
      <c r="H173" s="16">
        <v>1.5</v>
      </c>
      <c r="J173" s="26">
        <v>800</v>
      </c>
      <c r="L173" s="6">
        <v>0</v>
      </c>
      <c r="M173" s="6">
        <v>0</v>
      </c>
      <c r="N173" s="6">
        <v>0</v>
      </c>
      <c r="P173" s="15" t="s">
        <v>76</v>
      </c>
      <c r="Q173" s="10">
        <v>0</v>
      </c>
    </row>
    <row r="174" spans="1:17" x14ac:dyDescent="0.25">
      <c r="A174" s="28" t="s">
        <v>268</v>
      </c>
      <c r="B174" s="24" t="s">
        <v>274</v>
      </c>
      <c r="C174" s="29" t="s">
        <v>51</v>
      </c>
      <c r="D174" s="25" t="s">
        <v>59</v>
      </c>
      <c r="E174" s="26"/>
      <c r="F174" s="26">
        <v>400</v>
      </c>
      <c r="G174" s="26">
        <v>1000</v>
      </c>
      <c r="H174" s="16">
        <v>1.5</v>
      </c>
      <c r="J174" s="26">
        <v>800</v>
      </c>
      <c r="L174" s="6">
        <v>0</v>
      </c>
      <c r="M174" s="6">
        <v>0</v>
      </c>
      <c r="N174" s="6">
        <v>0</v>
      </c>
      <c r="P174" s="15" t="s">
        <v>76</v>
      </c>
      <c r="Q174" s="10">
        <v>0</v>
      </c>
    </row>
    <row r="175" spans="1:17" x14ac:dyDescent="0.25">
      <c r="A175" s="28" t="s">
        <v>268</v>
      </c>
      <c r="B175" s="24" t="s">
        <v>275</v>
      </c>
      <c r="C175" s="29" t="s">
        <v>51</v>
      </c>
      <c r="D175" s="25" t="s">
        <v>59</v>
      </c>
      <c r="E175" s="26"/>
      <c r="F175" s="26">
        <v>400</v>
      </c>
      <c r="G175" s="26">
        <v>1000</v>
      </c>
      <c r="H175" s="16">
        <v>1.5</v>
      </c>
      <c r="J175" s="26">
        <v>800</v>
      </c>
      <c r="L175" s="6">
        <v>0</v>
      </c>
      <c r="M175" s="6">
        <v>0</v>
      </c>
      <c r="N175" s="6">
        <v>0</v>
      </c>
      <c r="P175" s="15" t="s">
        <v>76</v>
      </c>
      <c r="Q175" s="10">
        <v>0</v>
      </c>
    </row>
    <row r="176" spans="1:17" x14ac:dyDescent="0.25">
      <c r="A176" s="28" t="s">
        <v>268</v>
      </c>
      <c r="B176" s="24" t="s">
        <v>276</v>
      </c>
      <c r="C176" s="29" t="s">
        <v>51</v>
      </c>
      <c r="D176" s="25" t="s">
        <v>59</v>
      </c>
      <c r="E176" s="26"/>
      <c r="F176" s="26">
        <v>400</v>
      </c>
      <c r="G176" s="26">
        <v>1000</v>
      </c>
      <c r="H176" s="16">
        <v>1.5</v>
      </c>
      <c r="J176" s="26">
        <v>800</v>
      </c>
      <c r="L176" s="6">
        <v>0</v>
      </c>
      <c r="M176" s="6">
        <v>0</v>
      </c>
      <c r="N176" s="6">
        <v>0</v>
      </c>
      <c r="P176" s="15" t="s">
        <v>76</v>
      </c>
      <c r="Q176" s="10">
        <v>0</v>
      </c>
    </row>
    <row r="177" spans="1:17" x14ac:dyDescent="0.25">
      <c r="A177" s="28" t="s">
        <v>277</v>
      </c>
      <c r="B177" s="24" t="s">
        <v>278</v>
      </c>
      <c r="C177" s="29" t="s">
        <v>51</v>
      </c>
      <c r="D177" s="25" t="s">
        <v>88</v>
      </c>
      <c r="E177" s="26">
        <v>2000</v>
      </c>
      <c r="F177" s="26">
        <v>4500</v>
      </c>
      <c r="G177" s="26">
        <v>10000</v>
      </c>
      <c r="H177" s="16">
        <v>1.2222222222222221</v>
      </c>
      <c r="J177" s="26">
        <v>8000</v>
      </c>
      <c r="L177" s="6">
        <v>0</v>
      </c>
      <c r="M177" s="6">
        <v>0</v>
      </c>
      <c r="N177" s="6">
        <v>0</v>
      </c>
      <c r="P177" s="15" t="s">
        <v>76</v>
      </c>
      <c r="Q177" s="10">
        <v>0</v>
      </c>
    </row>
    <row r="178" spans="1:17" x14ac:dyDescent="0.25">
      <c r="A178" s="28" t="s">
        <v>99</v>
      </c>
      <c r="B178" s="24" t="s">
        <v>279</v>
      </c>
      <c r="C178" s="29" t="s">
        <v>54</v>
      </c>
      <c r="D178" s="25" t="s">
        <v>151</v>
      </c>
      <c r="E178" s="26"/>
      <c r="F178" s="26">
        <v>2800</v>
      </c>
      <c r="G178" s="26">
        <v>4000</v>
      </c>
      <c r="H178" s="16">
        <v>0.42857142857142849</v>
      </c>
      <c r="J178" s="26">
        <v>3500</v>
      </c>
      <c r="L178" s="6">
        <v>0</v>
      </c>
      <c r="M178" s="6">
        <v>0</v>
      </c>
      <c r="N178" s="6">
        <v>0</v>
      </c>
      <c r="P178" s="15" t="s">
        <v>76</v>
      </c>
      <c r="Q178" s="10">
        <v>0</v>
      </c>
    </row>
    <row r="179" spans="1:17" x14ac:dyDescent="0.25">
      <c r="A179" s="28" t="s">
        <v>243</v>
      </c>
      <c r="B179" s="24" t="s">
        <v>280</v>
      </c>
      <c r="C179" s="29" t="s">
        <v>54</v>
      </c>
      <c r="D179" s="25" t="s">
        <v>59</v>
      </c>
      <c r="E179" s="26"/>
      <c r="F179" s="26">
        <v>800</v>
      </c>
      <c r="G179" s="26">
        <v>3000</v>
      </c>
      <c r="H179" s="16">
        <v>2.75</v>
      </c>
      <c r="I179">
        <v>5</v>
      </c>
      <c r="J179" s="26">
        <v>2500</v>
      </c>
      <c r="L179" s="6">
        <v>0</v>
      </c>
      <c r="M179" s="6">
        <v>0</v>
      </c>
      <c r="N179" s="6">
        <v>5</v>
      </c>
      <c r="P179" s="15" t="s">
        <v>81</v>
      </c>
      <c r="Q179" s="10">
        <v>4000</v>
      </c>
    </row>
    <row r="180" spans="1:17" x14ac:dyDescent="0.25">
      <c r="A180" s="28" t="s">
        <v>91</v>
      </c>
      <c r="B180" s="24" t="s">
        <v>281</v>
      </c>
      <c r="C180" s="29" t="s">
        <v>54</v>
      </c>
      <c r="D180" s="25" t="s">
        <v>59</v>
      </c>
      <c r="E180" s="26"/>
      <c r="F180" s="26">
        <v>400</v>
      </c>
      <c r="G180" s="26">
        <v>700</v>
      </c>
      <c r="H180" s="16">
        <v>0.75</v>
      </c>
      <c r="I180">
        <v>12</v>
      </c>
      <c r="J180" s="26">
        <v>500</v>
      </c>
      <c r="L180" s="6">
        <v>0</v>
      </c>
      <c r="M180" s="6">
        <v>0</v>
      </c>
      <c r="N180" s="6">
        <v>12</v>
      </c>
      <c r="P180" s="15" t="s">
        <v>81</v>
      </c>
      <c r="Q180" s="10">
        <v>4800</v>
      </c>
    </row>
    <row r="181" spans="1:17" x14ac:dyDescent="0.25">
      <c r="A181" s="28" t="s">
        <v>102</v>
      </c>
      <c r="B181" s="24" t="s">
        <v>282</v>
      </c>
      <c r="C181" s="8" t="s">
        <v>53</v>
      </c>
      <c r="D181" s="25" t="s">
        <v>59</v>
      </c>
      <c r="E181" s="26"/>
      <c r="F181" s="26">
        <v>1650</v>
      </c>
      <c r="G181" s="26">
        <v>3500</v>
      </c>
      <c r="H181" s="16">
        <v>1.1212121212121211</v>
      </c>
      <c r="I181">
        <v>10</v>
      </c>
      <c r="J181" s="26">
        <v>2500</v>
      </c>
      <c r="L181" s="6">
        <v>0</v>
      </c>
      <c r="M181" s="6">
        <v>0</v>
      </c>
      <c r="N181" s="6">
        <v>10</v>
      </c>
      <c r="P181" s="15" t="s">
        <v>81</v>
      </c>
      <c r="Q181" s="10">
        <v>16500</v>
      </c>
    </row>
    <row r="182" spans="1:17" x14ac:dyDescent="0.25">
      <c r="A182" s="28" t="s">
        <v>92</v>
      </c>
      <c r="B182" s="24" t="s">
        <v>283</v>
      </c>
      <c r="C182" s="29" t="s">
        <v>54</v>
      </c>
      <c r="D182" s="25" t="s">
        <v>59</v>
      </c>
      <c r="E182" s="26"/>
      <c r="F182" s="26">
        <v>7500</v>
      </c>
      <c r="G182" s="26">
        <v>8000</v>
      </c>
      <c r="H182" s="16">
        <v>6.6666666666666666E-2</v>
      </c>
      <c r="I182">
        <v>6</v>
      </c>
      <c r="J182" s="26">
        <v>8000</v>
      </c>
      <c r="L182" s="6">
        <v>0</v>
      </c>
      <c r="M182" s="6">
        <v>0</v>
      </c>
      <c r="N182" s="6">
        <v>6</v>
      </c>
      <c r="P182" s="15" t="s">
        <v>81</v>
      </c>
      <c r="Q182" s="10">
        <v>45000</v>
      </c>
    </row>
    <row r="183" spans="1:17" x14ac:dyDescent="0.25">
      <c r="A183" s="28" t="s">
        <v>92</v>
      </c>
      <c r="B183" s="24" t="s">
        <v>284</v>
      </c>
      <c r="C183" s="29" t="s">
        <v>54</v>
      </c>
      <c r="D183" s="25" t="s">
        <v>84</v>
      </c>
      <c r="E183" s="26"/>
      <c r="F183" s="26">
        <v>14250</v>
      </c>
      <c r="G183" s="26">
        <v>16000</v>
      </c>
      <c r="H183" s="30">
        <v>0.1228070175438596</v>
      </c>
      <c r="I183">
        <v>3</v>
      </c>
      <c r="J183" s="26">
        <v>15000</v>
      </c>
      <c r="L183" s="6">
        <v>0</v>
      </c>
      <c r="M183" s="6">
        <v>0</v>
      </c>
      <c r="N183" s="6">
        <v>3</v>
      </c>
      <c r="P183" s="15" t="s">
        <v>81</v>
      </c>
      <c r="Q183" s="10">
        <v>42750</v>
      </c>
    </row>
    <row r="184" spans="1:17" x14ac:dyDescent="0.25">
      <c r="A184" s="28" t="s">
        <v>285</v>
      </c>
      <c r="B184" s="24" t="s">
        <v>286</v>
      </c>
      <c r="C184" s="8" t="s">
        <v>53</v>
      </c>
      <c r="D184" s="25" t="s">
        <v>88</v>
      </c>
      <c r="E184" s="26"/>
      <c r="F184" s="26">
        <v>5750</v>
      </c>
      <c r="G184" s="26">
        <v>10000</v>
      </c>
      <c r="H184" s="30">
        <v>0.73913043478260865</v>
      </c>
      <c r="I184">
        <v>3</v>
      </c>
      <c r="J184" s="26">
        <v>8500</v>
      </c>
      <c r="L184" s="6">
        <v>0</v>
      </c>
      <c r="M184" s="6">
        <v>0</v>
      </c>
      <c r="N184" s="6">
        <v>3</v>
      </c>
      <c r="P184" s="15" t="s">
        <v>81</v>
      </c>
      <c r="Q184" s="10">
        <v>17250</v>
      </c>
    </row>
    <row r="185" spans="1:17" x14ac:dyDescent="0.25">
      <c r="A185" s="28" t="s">
        <v>285</v>
      </c>
      <c r="B185" s="24" t="s">
        <v>287</v>
      </c>
      <c r="C185" s="8" t="s">
        <v>53</v>
      </c>
      <c r="D185" s="25" t="s">
        <v>88</v>
      </c>
      <c r="E185" s="26"/>
      <c r="F185" s="26">
        <v>28000</v>
      </c>
      <c r="G185" s="26">
        <v>35000</v>
      </c>
      <c r="H185" s="30">
        <v>0.25</v>
      </c>
      <c r="I185">
        <v>0</v>
      </c>
      <c r="J185" s="26">
        <v>33000</v>
      </c>
      <c r="L185" s="6">
        <v>0</v>
      </c>
      <c r="M185" s="6">
        <v>0</v>
      </c>
      <c r="N185" s="6">
        <v>0</v>
      </c>
      <c r="P185" s="15" t="s">
        <v>76</v>
      </c>
      <c r="Q185" s="10">
        <v>0</v>
      </c>
    </row>
    <row r="186" spans="1:17" x14ac:dyDescent="0.25">
      <c r="A186" s="28" t="s">
        <v>86</v>
      </c>
      <c r="B186" s="24" t="s">
        <v>288</v>
      </c>
      <c r="C186" s="8" t="s">
        <v>53</v>
      </c>
      <c r="D186" s="25" t="s">
        <v>88</v>
      </c>
      <c r="E186" s="26">
        <v>350</v>
      </c>
      <c r="F186" s="26">
        <v>16800</v>
      </c>
      <c r="G186" s="26">
        <v>21000</v>
      </c>
      <c r="H186" s="30">
        <v>0.25</v>
      </c>
      <c r="I186">
        <v>1</v>
      </c>
      <c r="J186" s="26">
        <v>20500</v>
      </c>
      <c r="L186" s="6">
        <v>0</v>
      </c>
      <c r="M186" s="6">
        <v>0</v>
      </c>
      <c r="N186" s="6">
        <v>1</v>
      </c>
      <c r="P186" s="15" t="s">
        <v>81</v>
      </c>
      <c r="Q186" s="10">
        <v>16800</v>
      </c>
    </row>
    <row r="187" spans="1:17" x14ac:dyDescent="0.25">
      <c r="A187" s="28" t="s">
        <v>86</v>
      </c>
      <c r="B187" s="24" t="s">
        <v>289</v>
      </c>
      <c r="C187" s="8" t="s">
        <v>53</v>
      </c>
      <c r="D187" s="25" t="s">
        <v>88</v>
      </c>
      <c r="E187" s="26">
        <v>350</v>
      </c>
      <c r="F187" s="26">
        <v>16800</v>
      </c>
      <c r="G187" s="26">
        <v>21000</v>
      </c>
      <c r="H187" s="30">
        <v>0.25</v>
      </c>
      <c r="I187">
        <v>1</v>
      </c>
      <c r="J187" s="26">
        <v>20500</v>
      </c>
      <c r="L187" s="6">
        <v>0</v>
      </c>
      <c r="M187" s="6">
        <v>0</v>
      </c>
      <c r="N187" s="6">
        <v>1</v>
      </c>
      <c r="P187" s="15" t="s">
        <v>81</v>
      </c>
      <c r="Q187" s="10">
        <v>16800</v>
      </c>
    </row>
    <row r="188" spans="1:17" x14ac:dyDescent="0.25">
      <c r="A188" s="28" t="s">
        <v>86</v>
      </c>
      <c r="B188" s="24" t="s">
        <v>290</v>
      </c>
      <c r="C188" s="8" t="s">
        <v>53</v>
      </c>
      <c r="D188" s="25" t="s">
        <v>88</v>
      </c>
      <c r="E188" s="26">
        <v>350</v>
      </c>
      <c r="F188" s="26">
        <v>16800</v>
      </c>
      <c r="G188" s="26">
        <v>21000</v>
      </c>
      <c r="H188" s="30">
        <v>0.25</v>
      </c>
      <c r="I188">
        <v>1</v>
      </c>
      <c r="J188" s="26">
        <v>20500</v>
      </c>
      <c r="L188" s="6">
        <v>0</v>
      </c>
      <c r="M188" s="6">
        <v>0</v>
      </c>
      <c r="N188" s="6">
        <v>1</v>
      </c>
      <c r="P188" s="15" t="s">
        <v>81</v>
      </c>
      <c r="Q188" s="10">
        <v>16800</v>
      </c>
    </row>
    <row r="189" spans="1:17" x14ac:dyDescent="0.25">
      <c r="A189" s="28" t="s">
        <v>86</v>
      </c>
      <c r="B189" s="24" t="s">
        <v>291</v>
      </c>
      <c r="C189" s="8" t="s">
        <v>53</v>
      </c>
      <c r="D189" s="25" t="s">
        <v>88</v>
      </c>
      <c r="E189" s="26">
        <v>350</v>
      </c>
      <c r="F189" s="26">
        <v>16800</v>
      </c>
      <c r="G189" s="26">
        <v>21000</v>
      </c>
      <c r="H189" s="30">
        <v>0.25</v>
      </c>
      <c r="I189">
        <v>1</v>
      </c>
      <c r="J189" s="26">
        <v>20500</v>
      </c>
      <c r="L189" s="6">
        <v>0</v>
      </c>
      <c r="M189" s="6">
        <v>0</v>
      </c>
      <c r="N189" s="6">
        <v>1</v>
      </c>
      <c r="P189" s="15" t="s">
        <v>81</v>
      </c>
      <c r="Q189" s="10">
        <v>16800</v>
      </c>
    </row>
    <row r="190" spans="1:17" x14ac:dyDescent="0.25">
      <c r="A190" s="28" t="s">
        <v>86</v>
      </c>
      <c r="B190" s="24" t="s">
        <v>292</v>
      </c>
      <c r="C190" s="8" t="s">
        <v>53</v>
      </c>
      <c r="D190" s="25" t="s">
        <v>88</v>
      </c>
      <c r="E190" s="26">
        <v>350</v>
      </c>
      <c r="F190" s="26">
        <v>16800</v>
      </c>
      <c r="G190" s="26">
        <v>21000</v>
      </c>
      <c r="H190" s="30">
        <v>0.25</v>
      </c>
      <c r="I190">
        <v>1</v>
      </c>
      <c r="J190" s="26">
        <v>20500</v>
      </c>
      <c r="L190" s="6">
        <v>0</v>
      </c>
      <c r="M190" s="6">
        <v>0</v>
      </c>
      <c r="N190" s="6">
        <v>1</v>
      </c>
      <c r="P190" s="15" t="s">
        <v>81</v>
      </c>
      <c r="Q190" s="10">
        <v>16800</v>
      </c>
    </row>
    <row r="191" spans="1:17" x14ac:dyDescent="0.25">
      <c r="A191" s="28" t="s">
        <v>86</v>
      </c>
      <c r="B191" s="24" t="s">
        <v>293</v>
      </c>
      <c r="C191" s="8" t="s">
        <v>53</v>
      </c>
      <c r="D191" s="25" t="s">
        <v>88</v>
      </c>
      <c r="E191" s="26">
        <v>500</v>
      </c>
      <c r="F191" s="26">
        <v>27800</v>
      </c>
      <c r="G191" s="26">
        <v>33000</v>
      </c>
      <c r="H191" s="30">
        <v>0.18705035971223019</v>
      </c>
      <c r="I191">
        <v>1</v>
      </c>
      <c r="J191" s="26">
        <v>32000</v>
      </c>
      <c r="L191" s="6">
        <v>0</v>
      </c>
      <c r="M191" s="6">
        <v>0</v>
      </c>
      <c r="N191" s="6">
        <v>1</v>
      </c>
      <c r="P191" s="15" t="s">
        <v>81</v>
      </c>
      <c r="Q191" s="10">
        <v>27800</v>
      </c>
    </row>
    <row r="192" spans="1:17" x14ac:dyDescent="0.25">
      <c r="A192" s="28" t="s">
        <v>86</v>
      </c>
      <c r="B192" s="24" t="s">
        <v>294</v>
      </c>
      <c r="C192" s="8" t="s">
        <v>53</v>
      </c>
      <c r="D192" s="25" t="s">
        <v>88</v>
      </c>
      <c r="E192" s="26">
        <v>500</v>
      </c>
      <c r="F192" s="26">
        <v>27800</v>
      </c>
      <c r="G192" s="26">
        <v>33000</v>
      </c>
      <c r="H192" s="30">
        <v>0.18705035971223019</v>
      </c>
      <c r="I192">
        <v>1</v>
      </c>
      <c r="J192" s="26">
        <v>32000</v>
      </c>
      <c r="L192" s="6">
        <v>0</v>
      </c>
      <c r="M192" s="6">
        <v>0</v>
      </c>
      <c r="N192" s="6">
        <v>1</v>
      </c>
      <c r="P192" s="15" t="s">
        <v>81</v>
      </c>
      <c r="Q192" s="10">
        <v>27800</v>
      </c>
    </row>
    <row r="193" spans="1:17" x14ac:dyDescent="0.25">
      <c r="A193" s="28" t="s">
        <v>86</v>
      </c>
      <c r="B193" s="24" t="s">
        <v>295</v>
      </c>
      <c r="C193" s="8" t="s">
        <v>53</v>
      </c>
      <c r="D193" s="25" t="s">
        <v>88</v>
      </c>
      <c r="E193" s="26">
        <v>500</v>
      </c>
      <c r="F193" s="26">
        <v>27800</v>
      </c>
      <c r="G193" s="26">
        <v>33000</v>
      </c>
      <c r="H193" s="30">
        <v>0.18705035971223019</v>
      </c>
      <c r="I193">
        <v>1</v>
      </c>
      <c r="J193" s="26">
        <v>32000</v>
      </c>
      <c r="L193" s="6">
        <v>0</v>
      </c>
      <c r="M193" s="6">
        <v>0</v>
      </c>
      <c r="N193" s="6">
        <v>1</v>
      </c>
      <c r="P193" s="15" t="s">
        <v>81</v>
      </c>
      <c r="Q193" s="10">
        <v>27800</v>
      </c>
    </row>
    <row r="194" spans="1:17" x14ac:dyDescent="0.25">
      <c r="A194" s="28" t="s">
        <v>86</v>
      </c>
      <c r="B194" s="24" t="s">
        <v>296</v>
      </c>
      <c r="C194" s="8" t="s">
        <v>53</v>
      </c>
      <c r="D194" s="25" t="s">
        <v>88</v>
      </c>
      <c r="E194" s="26">
        <v>500</v>
      </c>
      <c r="F194" s="26">
        <v>27800</v>
      </c>
      <c r="G194" s="26">
        <v>33000</v>
      </c>
      <c r="H194" s="30">
        <v>0.18705035971223019</v>
      </c>
      <c r="I194">
        <v>1</v>
      </c>
      <c r="J194" s="26">
        <v>32000</v>
      </c>
      <c r="L194" s="6">
        <v>0</v>
      </c>
      <c r="M194" s="6">
        <v>0</v>
      </c>
      <c r="N194" s="6">
        <v>1</v>
      </c>
      <c r="P194" s="15" t="s">
        <v>81</v>
      </c>
      <c r="Q194" s="10">
        <v>27800</v>
      </c>
    </row>
    <row r="195" spans="1:17" x14ac:dyDescent="0.25">
      <c r="A195" s="28" t="s">
        <v>86</v>
      </c>
      <c r="B195" s="24" t="s">
        <v>297</v>
      </c>
      <c r="C195" s="8" t="s">
        <v>53</v>
      </c>
      <c r="D195" s="25" t="s">
        <v>88</v>
      </c>
      <c r="E195" s="26">
        <v>500</v>
      </c>
      <c r="F195" s="26">
        <v>27800</v>
      </c>
      <c r="G195" s="26">
        <v>33000</v>
      </c>
      <c r="H195" s="30">
        <v>0.18705035971223019</v>
      </c>
      <c r="I195">
        <v>1</v>
      </c>
      <c r="J195" s="26">
        <v>32000</v>
      </c>
      <c r="L195" s="6">
        <v>0</v>
      </c>
      <c r="M195" s="6">
        <v>0</v>
      </c>
      <c r="N195" s="6">
        <v>1</v>
      </c>
      <c r="P195" s="15" t="s">
        <v>81</v>
      </c>
      <c r="Q195" s="10">
        <v>27800</v>
      </c>
    </row>
    <row r="196" spans="1:17" x14ac:dyDescent="0.25">
      <c r="A196" s="28" t="s">
        <v>86</v>
      </c>
      <c r="B196" s="24" t="s">
        <v>298</v>
      </c>
      <c r="C196" s="8" t="s">
        <v>53</v>
      </c>
      <c r="D196" s="25" t="s">
        <v>88</v>
      </c>
      <c r="E196" s="26">
        <v>550</v>
      </c>
      <c r="F196" s="26">
        <v>49500</v>
      </c>
      <c r="G196" s="26">
        <v>52000</v>
      </c>
      <c r="H196" s="30">
        <v>5.0505050505050497E-2</v>
      </c>
      <c r="I196">
        <v>1</v>
      </c>
      <c r="J196" s="26">
        <v>51500</v>
      </c>
      <c r="L196" s="6">
        <v>0</v>
      </c>
      <c r="M196" s="6">
        <v>0</v>
      </c>
      <c r="N196" s="6">
        <v>1</v>
      </c>
      <c r="P196" s="15" t="s">
        <v>81</v>
      </c>
      <c r="Q196" s="10">
        <v>49500</v>
      </c>
    </row>
    <row r="197" spans="1:17" x14ac:dyDescent="0.25">
      <c r="A197" s="28" t="s">
        <v>86</v>
      </c>
      <c r="B197" s="24" t="s">
        <v>299</v>
      </c>
      <c r="C197" s="8" t="s">
        <v>53</v>
      </c>
      <c r="D197" s="25" t="s">
        <v>88</v>
      </c>
      <c r="E197" s="26">
        <v>900</v>
      </c>
      <c r="F197" s="31">
        <v>77500</v>
      </c>
      <c r="G197" s="32">
        <v>80000</v>
      </c>
      <c r="H197" s="30">
        <v>3.2258064516129031E-2</v>
      </c>
      <c r="I197">
        <v>1</v>
      </c>
      <c r="J197" s="26">
        <v>79500</v>
      </c>
      <c r="L197" s="6">
        <v>0</v>
      </c>
      <c r="M197" s="6">
        <v>0</v>
      </c>
      <c r="N197" s="6">
        <v>1</v>
      </c>
      <c r="P197" s="15" t="s">
        <v>81</v>
      </c>
      <c r="Q197" s="10">
        <v>77500</v>
      </c>
    </row>
    <row r="198" spans="1:17" x14ac:dyDescent="0.25">
      <c r="A198" s="28" t="s">
        <v>86</v>
      </c>
      <c r="B198" s="24" t="s">
        <v>300</v>
      </c>
      <c r="C198" s="8" t="s">
        <v>53</v>
      </c>
      <c r="D198" s="25" t="s">
        <v>88</v>
      </c>
      <c r="E198" s="26">
        <v>800</v>
      </c>
      <c r="F198" s="31">
        <v>69500</v>
      </c>
      <c r="G198" s="32">
        <v>75000</v>
      </c>
      <c r="H198" s="30">
        <v>7.9136690647482008E-2</v>
      </c>
      <c r="I198">
        <v>1</v>
      </c>
      <c r="J198" s="26">
        <v>72000</v>
      </c>
      <c r="L198" s="6">
        <v>0</v>
      </c>
      <c r="M198" s="6">
        <v>0</v>
      </c>
      <c r="N198" s="6">
        <v>1</v>
      </c>
      <c r="P198" s="15" t="s">
        <v>81</v>
      </c>
      <c r="Q198" s="10">
        <v>69500</v>
      </c>
    </row>
    <row r="199" spans="1:17" x14ac:dyDescent="0.25">
      <c r="A199" s="28" t="s">
        <v>86</v>
      </c>
      <c r="B199" s="24" t="s">
        <v>301</v>
      </c>
      <c r="C199" s="8" t="s">
        <v>53</v>
      </c>
      <c r="D199" s="25" t="s">
        <v>88</v>
      </c>
      <c r="E199" s="26">
        <v>1500</v>
      </c>
      <c r="F199" s="31">
        <v>109000</v>
      </c>
      <c r="G199" s="32">
        <v>112000</v>
      </c>
      <c r="H199" s="30">
        <v>2.7522935779816519E-2</v>
      </c>
      <c r="I199">
        <v>1</v>
      </c>
      <c r="J199" s="26">
        <v>111500</v>
      </c>
      <c r="L199" s="6">
        <v>0</v>
      </c>
      <c r="M199" s="6">
        <v>0</v>
      </c>
      <c r="N199" s="6">
        <v>1</v>
      </c>
      <c r="P199" s="15" t="s">
        <v>81</v>
      </c>
      <c r="Q199" s="10">
        <v>109000</v>
      </c>
    </row>
    <row r="200" spans="1:17" x14ac:dyDescent="0.25">
      <c r="A200" s="28" t="s">
        <v>243</v>
      </c>
      <c r="B200" s="24" t="s">
        <v>302</v>
      </c>
      <c r="C200" s="29" t="s">
        <v>52</v>
      </c>
      <c r="D200" s="25" t="s">
        <v>88</v>
      </c>
      <c r="F200" s="31">
        <v>100</v>
      </c>
      <c r="G200" s="32">
        <v>300</v>
      </c>
      <c r="H200" s="30">
        <v>2</v>
      </c>
      <c r="I200">
        <v>20</v>
      </c>
      <c r="J200" s="26">
        <v>250</v>
      </c>
      <c r="L200" s="6">
        <v>0</v>
      </c>
      <c r="M200" s="6">
        <v>0</v>
      </c>
      <c r="N200" s="6">
        <v>20</v>
      </c>
      <c r="P200" s="15" t="s">
        <v>81</v>
      </c>
      <c r="Q200" s="10">
        <v>2000</v>
      </c>
    </row>
    <row r="201" spans="1:17" x14ac:dyDescent="0.25">
      <c r="A201" s="28" t="s">
        <v>91</v>
      </c>
      <c r="B201" s="24" t="s">
        <v>303</v>
      </c>
      <c r="C201" s="8" t="s">
        <v>53</v>
      </c>
      <c r="D201" s="25" t="s">
        <v>59</v>
      </c>
      <c r="F201" s="31">
        <v>7500</v>
      </c>
      <c r="G201" s="32">
        <v>15000</v>
      </c>
      <c r="H201" s="30">
        <v>1</v>
      </c>
      <c r="I201">
        <v>1</v>
      </c>
      <c r="J201" s="26">
        <v>10000</v>
      </c>
      <c r="L201" s="6">
        <v>0</v>
      </c>
      <c r="M201" s="6">
        <v>0</v>
      </c>
      <c r="N201" s="6">
        <v>1</v>
      </c>
      <c r="P201" s="15" t="s">
        <v>81</v>
      </c>
      <c r="Q201" s="10">
        <v>7500</v>
      </c>
    </row>
    <row r="202" spans="1:17" x14ac:dyDescent="0.25">
      <c r="A202" s="28" t="s">
        <v>243</v>
      </c>
      <c r="B202" s="24" t="s">
        <v>304</v>
      </c>
      <c r="C202" s="29" t="s">
        <v>52</v>
      </c>
      <c r="D202" s="25" t="s">
        <v>59</v>
      </c>
      <c r="F202" s="31">
        <v>11000</v>
      </c>
      <c r="G202" s="32">
        <v>25000</v>
      </c>
      <c r="H202" s="30">
        <v>1.2727272727272729</v>
      </c>
      <c r="I202">
        <v>8</v>
      </c>
      <c r="J202" s="26">
        <v>20000</v>
      </c>
      <c r="L202" s="6">
        <v>0</v>
      </c>
      <c r="M202" s="6">
        <v>0</v>
      </c>
      <c r="N202" s="6">
        <v>8</v>
      </c>
      <c r="P202" s="15" t="s">
        <v>81</v>
      </c>
      <c r="Q202" s="10">
        <v>88000</v>
      </c>
    </row>
    <row r="203" spans="1:17" x14ac:dyDescent="0.25">
      <c r="A203" s="28" t="s">
        <v>102</v>
      </c>
      <c r="B203" s="24" t="s">
        <v>305</v>
      </c>
      <c r="C203" s="29" t="s">
        <v>52</v>
      </c>
      <c r="D203" s="25" t="s">
        <v>79</v>
      </c>
      <c r="E203" s="26">
        <v>700</v>
      </c>
      <c r="F203" s="31">
        <v>1750</v>
      </c>
      <c r="G203" s="32">
        <v>3500</v>
      </c>
      <c r="H203" s="30">
        <v>1</v>
      </c>
      <c r="I203">
        <v>1</v>
      </c>
      <c r="J203" s="26">
        <v>3000</v>
      </c>
      <c r="L203" s="6">
        <v>0</v>
      </c>
      <c r="M203" s="6">
        <v>0</v>
      </c>
      <c r="N203" s="6">
        <v>1</v>
      </c>
      <c r="P203" s="15" t="s">
        <v>81</v>
      </c>
      <c r="Q203" s="10">
        <v>1750</v>
      </c>
    </row>
    <row r="204" spans="1:17" x14ac:dyDescent="0.25">
      <c r="A204" s="28" t="s">
        <v>91</v>
      </c>
      <c r="B204" s="24" t="s">
        <v>306</v>
      </c>
      <c r="C204" s="29" t="s">
        <v>54</v>
      </c>
      <c r="D204" s="25" t="s">
        <v>59</v>
      </c>
      <c r="F204" s="31">
        <v>800</v>
      </c>
      <c r="G204" s="32">
        <v>1500</v>
      </c>
      <c r="H204" s="30">
        <v>0.875</v>
      </c>
      <c r="I204">
        <v>1</v>
      </c>
      <c r="J204" s="26">
        <v>1400</v>
      </c>
      <c r="L204" s="6">
        <v>0</v>
      </c>
      <c r="M204" s="6">
        <v>0</v>
      </c>
      <c r="N204" s="6">
        <v>1</v>
      </c>
      <c r="P204" s="15" t="s">
        <v>81</v>
      </c>
      <c r="Q204" s="10">
        <v>800</v>
      </c>
    </row>
    <row r="205" spans="1:17" x14ac:dyDescent="0.25">
      <c r="A205" s="28" t="s">
        <v>91</v>
      </c>
      <c r="B205" s="24" t="s">
        <v>307</v>
      </c>
      <c r="C205" s="29" t="s">
        <v>54</v>
      </c>
      <c r="D205" s="25" t="s">
        <v>59</v>
      </c>
      <c r="F205" s="31">
        <v>600</v>
      </c>
      <c r="G205" s="32">
        <v>1000</v>
      </c>
      <c r="H205" s="30">
        <v>0.66666666666666663</v>
      </c>
      <c r="J205" s="26">
        <v>1000</v>
      </c>
      <c r="L205" s="6">
        <v>0</v>
      </c>
      <c r="M205" s="6">
        <v>0</v>
      </c>
      <c r="N205" s="6">
        <v>0</v>
      </c>
      <c r="P205" s="15" t="s">
        <v>76</v>
      </c>
      <c r="Q205" s="7">
        <v>0</v>
      </c>
    </row>
    <row r="206" spans="1:17" x14ac:dyDescent="0.25">
      <c r="A206" s="28" t="s">
        <v>91</v>
      </c>
      <c r="B206" s="24" t="s">
        <v>308</v>
      </c>
      <c r="C206" s="29" t="s">
        <v>54</v>
      </c>
      <c r="D206" s="25" t="s">
        <v>59</v>
      </c>
      <c r="F206" s="31">
        <v>500</v>
      </c>
      <c r="G206" s="32">
        <v>1000</v>
      </c>
      <c r="H206" s="30">
        <v>1</v>
      </c>
      <c r="J206" s="26">
        <v>900</v>
      </c>
      <c r="L206" s="6">
        <v>0</v>
      </c>
      <c r="M206" s="6">
        <v>0</v>
      </c>
      <c r="N206" s="6">
        <v>0</v>
      </c>
      <c r="P206" s="15" t="s">
        <v>76</v>
      </c>
      <c r="Q206" s="7">
        <v>0</v>
      </c>
    </row>
    <row r="207" spans="1:17" x14ac:dyDescent="0.25">
      <c r="A207" s="28" t="s">
        <v>117</v>
      </c>
      <c r="B207" s="24" t="s">
        <v>309</v>
      </c>
      <c r="C207" s="29" t="s">
        <v>54</v>
      </c>
      <c r="D207" s="25" t="s">
        <v>59</v>
      </c>
      <c r="F207" s="31">
        <v>850</v>
      </c>
      <c r="G207" s="32">
        <v>1500</v>
      </c>
      <c r="H207" s="30">
        <v>0.76470588235294112</v>
      </c>
      <c r="I207">
        <v>1</v>
      </c>
      <c r="J207" s="26">
        <v>1400</v>
      </c>
      <c r="L207" s="6">
        <v>0</v>
      </c>
      <c r="M207" s="6">
        <v>0</v>
      </c>
      <c r="N207" s="6">
        <v>1</v>
      </c>
      <c r="P207" s="15" t="s">
        <v>81</v>
      </c>
      <c r="Q207" s="10">
        <v>850</v>
      </c>
    </row>
    <row r="208" spans="1:17" x14ac:dyDescent="0.25">
      <c r="A208" s="28" t="s">
        <v>243</v>
      </c>
      <c r="B208" s="24" t="s">
        <v>310</v>
      </c>
      <c r="C208" s="8" t="s">
        <v>53</v>
      </c>
      <c r="D208" s="25" t="s">
        <v>59</v>
      </c>
      <c r="F208" s="31">
        <v>850</v>
      </c>
      <c r="G208" s="32">
        <v>1500</v>
      </c>
      <c r="H208" s="30">
        <v>0.76470588235294112</v>
      </c>
      <c r="I208">
        <v>1</v>
      </c>
      <c r="J208" s="26">
        <v>1500</v>
      </c>
      <c r="L208" s="6">
        <v>0</v>
      </c>
      <c r="M208" s="6">
        <v>0</v>
      </c>
      <c r="N208" s="6">
        <v>1</v>
      </c>
      <c r="P208" s="15" t="s">
        <v>81</v>
      </c>
      <c r="Q208" s="10">
        <v>850</v>
      </c>
    </row>
    <row r="209" spans="1:17" x14ac:dyDescent="0.25">
      <c r="A209" s="28" t="s">
        <v>243</v>
      </c>
      <c r="B209" s="24" t="s">
        <v>311</v>
      </c>
      <c r="C209" s="8" t="s">
        <v>53</v>
      </c>
      <c r="D209" s="25" t="s">
        <v>59</v>
      </c>
      <c r="F209" s="31">
        <v>1300</v>
      </c>
      <c r="G209" s="32">
        <v>2500</v>
      </c>
      <c r="H209" s="30">
        <v>0.92307692307692313</v>
      </c>
      <c r="I209">
        <v>1</v>
      </c>
      <c r="J209" s="26">
        <v>2300</v>
      </c>
      <c r="L209" s="6">
        <v>0</v>
      </c>
      <c r="M209" s="6">
        <v>0</v>
      </c>
      <c r="N209" s="6">
        <v>1</v>
      </c>
      <c r="P209" s="15" t="s">
        <v>81</v>
      </c>
      <c r="Q209" s="10">
        <v>1300</v>
      </c>
    </row>
    <row r="210" spans="1:17" x14ac:dyDescent="0.25">
      <c r="A210" s="28" t="s">
        <v>243</v>
      </c>
      <c r="B210" s="24" t="s">
        <v>312</v>
      </c>
      <c r="C210" s="8" t="s">
        <v>53</v>
      </c>
      <c r="D210" s="25" t="s">
        <v>59</v>
      </c>
      <c r="F210" s="31">
        <v>1800</v>
      </c>
      <c r="G210" s="32">
        <v>3500</v>
      </c>
      <c r="H210" s="30">
        <v>0.94444444444444442</v>
      </c>
      <c r="I210">
        <v>1</v>
      </c>
      <c r="J210" s="26">
        <v>3000</v>
      </c>
      <c r="L210" s="6">
        <v>0</v>
      </c>
      <c r="M210" s="6">
        <v>0</v>
      </c>
      <c r="N210" s="6">
        <v>1</v>
      </c>
      <c r="P210" s="15" t="s">
        <v>81</v>
      </c>
      <c r="Q210" s="10">
        <v>1800</v>
      </c>
    </row>
    <row r="211" spans="1:17" x14ac:dyDescent="0.25">
      <c r="A211" s="28" t="s">
        <v>243</v>
      </c>
      <c r="B211" s="24" t="s">
        <v>313</v>
      </c>
      <c r="C211" s="8" t="s">
        <v>53</v>
      </c>
      <c r="D211" s="25" t="s">
        <v>59</v>
      </c>
      <c r="F211" s="31">
        <v>2300</v>
      </c>
      <c r="G211" s="32">
        <v>4500</v>
      </c>
      <c r="H211" s="30">
        <v>0.95652173913043481</v>
      </c>
      <c r="I211">
        <v>1</v>
      </c>
      <c r="J211" s="26">
        <v>4000</v>
      </c>
      <c r="L211" s="6">
        <v>0</v>
      </c>
      <c r="M211" s="6">
        <v>0</v>
      </c>
      <c r="N211" s="6">
        <v>1</v>
      </c>
      <c r="P211" s="15" t="s">
        <v>81</v>
      </c>
      <c r="Q211" s="10">
        <v>2300</v>
      </c>
    </row>
    <row r="212" spans="1:17" x14ac:dyDescent="0.25">
      <c r="A212" s="28" t="s">
        <v>241</v>
      </c>
      <c r="B212" s="24" t="s">
        <v>314</v>
      </c>
      <c r="C212" s="29" t="s">
        <v>54</v>
      </c>
      <c r="D212" s="25" t="s">
        <v>59</v>
      </c>
      <c r="F212" s="31">
        <v>1800</v>
      </c>
      <c r="G212" s="32">
        <v>3600</v>
      </c>
      <c r="H212" s="30">
        <v>1</v>
      </c>
      <c r="I212">
        <v>1</v>
      </c>
      <c r="J212" s="26">
        <v>3000</v>
      </c>
      <c r="L212" s="6">
        <v>0</v>
      </c>
      <c r="M212" s="6">
        <v>0</v>
      </c>
      <c r="N212" s="6">
        <v>1</v>
      </c>
      <c r="P212" s="15" t="s">
        <v>81</v>
      </c>
      <c r="Q212" s="10">
        <v>1800</v>
      </c>
    </row>
    <row r="213" spans="1:17" x14ac:dyDescent="0.25">
      <c r="A213" s="28" t="s">
        <v>241</v>
      </c>
      <c r="B213" s="24" t="s">
        <v>315</v>
      </c>
      <c r="C213" s="29" t="s">
        <v>54</v>
      </c>
      <c r="D213" s="25" t="s">
        <v>59</v>
      </c>
      <c r="F213" s="31">
        <v>2300</v>
      </c>
      <c r="G213" s="32">
        <v>4500</v>
      </c>
      <c r="H213" s="30">
        <v>0.95652173913043481</v>
      </c>
      <c r="I213">
        <v>1</v>
      </c>
      <c r="J213" s="26">
        <v>4000</v>
      </c>
      <c r="L213" s="6">
        <v>0</v>
      </c>
      <c r="M213" s="6">
        <v>0</v>
      </c>
      <c r="N213" s="6">
        <v>1</v>
      </c>
      <c r="P213" s="15" t="s">
        <v>81</v>
      </c>
      <c r="Q213" s="10">
        <v>2300</v>
      </c>
    </row>
    <row r="214" spans="1:17" x14ac:dyDescent="0.25">
      <c r="A214" s="28" t="s">
        <v>241</v>
      </c>
      <c r="B214" s="24" t="s">
        <v>316</v>
      </c>
      <c r="C214" s="29" t="s">
        <v>54</v>
      </c>
      <c r="D214" s="25" t="s">
        <v>59</v>
      </c>
      <c r="F214" s="31">
        <v>4000</v>
      </c>
      <c r="G214" s="32">
        <v>8000</v>
      </c>
      <c r="H214" s="30">
        <v>1</v>
      </c>
      <c r="I214">
        <v>1</v>
      </c>
      <c r="J214" s="26">
        <v>6000</v>
      </c>
      <c r="L214" s="6">
        <v>0</v>
      </c>
      <c r="M214" s="6">
        <v>0</v>
      </c>
      <c r="N214" s="6">
        <v>1</v>
      </c>
      <c r="P214" s="15" t="s">
        <v>81</v>
      </c>
      <c r="Q214" s="10">
        <v>4000</v>
      </c>
    </row>
    <row r="215" spans="1:17" x14ac:dyDescent="0.25">
      <c r="A215" s="28" t="s">
        <v>241</v>
      </c>
      <c r="B215" s="24" t="s">
        <v>317</v>
      </c>
      <c r="C215" s="29" t="s">
        <v>54</v>
      </c>
      <c r="D215" s="25" t="s">
        <v>255</v>
      </c>
      <c r="E215">
        <v>1500</v>
      </c>
      <c r="F215" s="31">
        <v>7200</v>
      </c>
      <c r="G215" s="32">
        <v>15000</v>
      </c>
      <c r="H215" s="30">
        <v>1.083333333333333</v>
      </c>
      <c r="I215">
        <v>12</v>
      </c>
      <c r="J215" s="26">
        <v>12000</v>
      </c>
      <c r="L215" s="6">
        <v>0</v>
      </c>
      <c r="M215" s="6">
        <v>0</v>
      </c>
      <c r="N215" s="6">
        <v>12</v>
      </c>
      <c r="P215" s="15" t="s">
        <v>81</v>
      </c>
      <c r="Q215" s="10">
        <v>86400</v>
      </c>
    </row>
    <row r="216" spans="1:17" x14ac:dyDescent="0.25">
      <c r="A216" s="28" t="s">
        <v>241</v>
      </c>
      <c r="B216" s="24" t="s">
        <v>318</v>
      </c>
      <c r="C216" s="29" t="s">
        <v>54</v>
      </c>
      <c r="D216" s="25" t="s">
        <v>59</v>
      </c>
      <c r="F216" s="31">
        <v>750</v>
      </c>
      <c r="G216" s="32">
        <v>1500</v>
      </c>
      <c r="H216" s="30">
        <v>1</v>
      </c>
      <c r="I216">
        <v>2</v>
      </c>
      <c r="J216" s="26">
        <v>1500</v>
      </c>
      <c r="L216" s="6">
        <v>0</v>
      </c>
      <c r="M216" s="6">
        <v>0</v>
      </c>
      <c r="N216" s="6">
        <v>2</v>
      </c>
      <c r="P216" s="15" t="s">
        <v>81</v>
      </c>
      <c r="Q216" s="10">
        <v>1500</v>
      </c>
    </row>
    <row r="217" spans="1:17" x14ac:dyDescent="0.25">
      <c r="A217" s="28" t="s">
        <v>243</v>
      </c>
      <c r="B217" s="24" t="s">
        <v>319</v>
      </c>
      <c r="C217" s="29" t="s">
        <v>54</v>
      </c>
      <c r="D217" s="25" t="s">
        <v>59</v>
      </c>
      <c r="F217" s="31">
        <v>1800</v>
      </c>
      <c r="G217" s="32">
        <v>3500</v>
      </c>
      <c r="H217" s="30">
        <v>0.94444444444444442</v>
      </c>
      <c r="I217">
        <v>2</v>
      </c>
      <c r="J217" s="26">
        <v>3000</v>
      </c>
      <c r="L217" s="6">
        <v>0</v>
      </c>
      <c r="M217" s="6">
        <v>0</v>
      </c>
      <c r="N217" s="6">
        <v>2</v>
      </c>
      <c r="P217" s="15" t="s">
        <v>81</v>
      </c>
      <c r="Q217" s="10">
        <v>3600</v>
      </c>
    </row>
    <row r="218" spans="1:17" x14ac:dyDescent="0.25">
      <c r="B218" s="24" t="s">
        <v>320</v>
      </c>
      <c r="C218" s="29" t="s">
        <v>54</v>
      </c>
      <c r="D218" s="25" t="s">
        <v>59</v>
      </c>
      <c r="F218" s="31">
        <v>1000</v>
      </c>
      <c r="G218" s="32">
        <v>1500</v>
      </c>
      <c r="H218" s="30">
        <v>0.5</v>
      </c>
      <c r="J218" s="26">
        <v>1500</v>
      </c>
      <c r="L218" s="6">
        <v>0</v>
      </c>
      <c r="M218" s="6">
        <v>0</v>
      </c>
      <c r="N218" s="6">
        <v>0</v>
      </c>
      <c r="P218" s="15" t="s">
        <v>76</v>
      </c>
      <c r="Q218" s="10">
        <v>0</v>
      </c>
    </row>
    <row r="219" spans="1:17" x14ac:dyDescent="0.25">
      <c r="B219" s="24" t="s">
        <v>321</v>
      </c>
      <c r="C219" s="29" t="s">
        <v>54</v>
      </c>
      <c r="D219" s="25" t="s">
        <v>59</v>
      </c>
      <c r="F219" s="31">
        <v>1500</v>
      </c>
      <c r="G219" s="32">
        <v>2000</v>
      </c>
      <c r="H219" s="30">
        <v>0.33333333333333331</v>
      </c>
      <c r="J219" s="26">
        <v>2000</v>
      </c>
      <c r="L219" s="6">
        <v>0</v>
      </c>
      <c r="M219" s="6">
        <v>0</v>
      </c>
      <c r="N219" s="6">
        <v>0</v>
      </c>
      <c r="P219" s="15" t="s">
        <v>76</v>
      </c>
      <c r="Q219" s="10">
        <v>0</v>
      </c>
    </row>
    <row r="220" spans="1:17" x14ac:dyDescent="0.25">
      <c r="B220" s="24" t="s">
        <v>322</v>
      </c>
      <c r="C220" s="29" t="s">
        <v>54</v>
      </c>
      <c r="D220" s="25" t="s">
        <v>255</v>
      </c>
      <c r="E220">
        <v>500</v>
      </c>
      <c r="F220" s="31">
        <v>1900</v>
      </c>
      <c r="G220" s="32">
        <v>4500</v>
      </c>
      <c r="H220" s="30">
        <v>1.368421052631579</v>
      </c>
      <c r="J220" s="26">
        <v>4000</v>
      </c>
      <c r="L220" s="6">
        <v>0</v>
      </c>
      <c r="M220" s="6">
        <v>0</v>
      </c>
      <c r="N220" s="6">
        <v>0</v>
      </c>
      <c r="P220" s="15" t="s">
        <v>76</v>
      </c>
      <c r="Q220" s="10">
        <v>0</v>
      </c>
    </row>
    <row r="221" spans="1:17" x14ac:dyDescent="0.25">
      <c r="A221" t="s">
        <v>243</v>
      </c>
      <c r="B221" s="24" t="s">
        <v>323</v>
      </c>
      <c r="C221" s="29" t="s">
        <v>54</v>
      </c>
      <c r="D221" s="25" t="s">
        <v>255</v>
      </c>
      <c r="E221">
        <v>1000</v>
      </c>
      <c r="F221" s="31">
        <v>3000</v>
      </c>
      <c r="G221" s="32">
        <v>8000</v>
      </c>
      <c r="H221" s="30">
        <v>1.666666666666667</v>
      </c>
      <c r="J221" s="26">
        <v>6000</v>
      </c>
      <c r="L221" s="6">
        <v>0</v>
      </c>
      <c r="M221" s="6">
        <v>0</v>
      </c>
      <c r="N221" s="6">
        <v>0</v>
      </c>
      <c r="P221" s="15" t="s">
        <v>76</v>
      </c>
      <c r="Q221" s="10">
        <v>0</v>
      </c>
    </row>
    <row r="222" spans="1:17" x14ac:dyDescent="0.25">
      <c r="A222" t="s">
        <v>243</v>
      </c>
      <c r="B222" s="24" t="s">
        <v>324</v>
      </c>
      <c r="C222" s="29" t="s">
        <v>54</v>
      </c>
      <c r="D222" s="25" t="s">
        <v>59</v>
      </c>
      <c r="F222" s="31">
        <v>750</v>
      </c>
      <c r="G222" s="32">
        <v>1500</v>
      </c>
      <c r="H222" s="30">
        <v>1</v>
      </c>
      <c r="J222" s="26">
        <v>1300</v>
      </c>
      <c r="L222" s="6">
        <v>0</v>
      </c>
      <c r="M222" s="6">
        <v>0</v>
      </c>
      <c r="N222" s="6">
        <v>0</v>
      </c>
      <c r="P222" s="15" t="s">
        <v>76</v>
      </c>
      <c r="Q222" s="10">
        <v>0</v>
      </c>
    </row>
    <row r="223" spans="1:17" x14ac:dyDescent="0.25">
      <c r="B223" s="24" t="s">
        <v>325</v>
      </c>
      <c r="C223" s="29" t="s">
        <v>54</v>
      </c>
      <c r="D223" s="25" t="s">
        <v>59</v>
      </c>
      <c r="F223" s="31">
        <v>200</v>
      </c>
      <c r="G223" s="32">
        <v>500</v>
      </c>
      <c r="H223" s="30">
        <v>1.5</v>
      </c>
      <c r="J223" s="26">
        <v>500</v>
      </c>
      <c r="L223" s="6">
        <v>0</v>
      </c>
      <c r="M223" s="6">
        <v>0</v>
      </c>
      <c r="N223" s="6">
        <v>0</v>
      </c>
      <c r="P223" s="15" t="s">
        <v>76</v>
      </c>
      <c r="Q223" s="10">
        <v>0</v>
      </c>
    </row>
    <row r="224" spans="1:17" x14ac:dyDescent="0.25">
      <c r="B224" s="24" t="s">
        <v>325</v>
      </c>
      <c r="C224" s="29" t="s">
        <v>54</v>
      </c>
      <c r="D224" s="25" t="s">
        <v>59</v>
      </c>
      <c r="F224" s="31">
        <v>250</v>
      </c>
      <c r="G224" s="32">
        <v>500</v>
      </c>
      <c r="H224" s="30">
        <v>1</v>
      </c>
      <c r="J224" s="26">
        <v>500</v>
      </c>
      <c r="L224" s="6">
        <v>0</v>
      </c>
      <c r="M224" s="6">
        <v>0</v>
      </c>
      <c r="N224" s="6">
        <v>0</v>
      </c>
      <c r="P224" s="15" t="s">
        <v>76</v>
      </c>
      <c r="Q224" s="10">
        <v>0</v>
      </c>
    </row>
    <row r="225" spans="1:17" x14ac:dyDescent="0.25">
      <c r="B225" s="24" t="s">
        <v>326</v>
      </c>
      <c r="C225" s="34" t="s">
        <v>54</v>
      </c>
      <c r="D225" s="35" t="s">
        <v>59</v>
      </c>
      <c r="F225" s="31">
        <v>300</v>
      </c>
      <c r="G225" s="32">
        <v>500</v>
      </c>
      <c r="H225" s="30">
        <v>0.66666666666666663</v>
      </c>
      <c r="J225" s="26">
        <v>500</v>
      </c>
      <c r="L225" s="6">
        <v>0</v>
      </c>
      <c r="M225" s="6">
        <v>0</v>
      </c>
      <c r="N225" s="6">
        <v>0</v>
      </c>
      <c r="P225" s="15" t="s">
        <v>76</v>
      </c>
      <c r="Q225" s="10">
        <v>0</v>
      </c>
    </row>
    <row r="226" spans="1:17" x14ac:dyDescent="0.25">
      <c r="B226" s="24" t="s">
        <v>327</v>
      </c>
      <c r="C226" s="34" t="s">
        <v>54</v>
      </c>
      <c r="D226" s="35" t="s">
        <v>59</v>
      </c>
      <c r="F226" s="31">
        <v>700</v>
      </c>
      <c r="G226" s="32">
        <v>1000</v>
      </c>
      <c r="H226" s="30">
        <v>0.42857142857142849</v>
      </c>
      <c r="J226" s="26">
        <v>1000</v>
      </c>
      <c r="L226" s="6">
        <v>0</v>
      </c>
      <c r="M226" s="6">
        <v>0</v>
      </c>
      <c r="N226" s="6">
        <v>0</v>
      </c>
      <c r="P226" s="15" t="s">
        <v>76</v>
      </c>
      <c r="Q226" s="10">
        <v>0</v>
      </c>
    </row>
    <row r="227" spans="1:17" x14ac:dyDescent="0.25">
      <c r="B227" s="24" t="s">
        <v>328</v>
      </c>
      <c r="C227" s="34" t="s">
        <v>54</v>
      </c>
      <c r="D227" s="35" t="s">
        <v>59</v>
      </c>
      <c r="F227" s="31">
        <v>1000</v>
      </c>
      <c r="G227" s="32">
        <v>1500</v>
      </c>
      <c r="H227" s="30">
        <v>0.5</v>
      </c>
      <c r="I227">
        <v>2</v>
      </c>
      <c r="J227" s="26">
        <v>1500</v>
      </c>
      <c r="L227" s="6">
        <v>0</v>
      </c>
      <c r="M227" s="6">
        <v>0</v>
      </c>
      <c r="N227" s="6">
        <v>2</v>
      </c>
      <c r="P227" s="15" t="s">
        <v>81</v>
      </c>
      <c r="Q227" s="10">
        <v>2000</v>
      </c>
    </row>
    <row r="228" spans="1:17" x14ac:dyDescent="0.25">
      <c r="B228" s="24" t="s">
        <v>329</v>
      </c>
      <c r="C228" s="34" t="s">
        <v>54</v>
      </c>
      <c r="D228" s="35" t="s">
        <v>59</v>
      </c>
      <c r="F228" s="31">
        <v>1000</v>
      </c>
      <c r="G228" s="32">
        <v>1500</v>
      </c>
      <c r="H228" s="30">
        <v>0.5</v>
      </c>
      <c r="I228">
        <v>2</v>
      </c>
      <c r="J228" s="26">
        <v>1500</v>
      </c>
      <c r="L228" s="6">
        <v>0</v>
      </c>
      <c r="M228" s="6">
        <v>0</v>
      </c>
      <c r="N228" s="6">
        <v>2</v>
      </c>
      <c r="P228" s="15" t="s">
        <v>81</v>
      </c>
      <c r="Q228" s="10">
        <v>2000</v>
      </c>
    </row>
    <row r="229" spans="1:17" x14ac:dyDescent="0.25">
      <c r="B229" s="24" t="s">
        <v>330</v>
      </c>
      <c r="C229" s="34" t="s">
        <v>54</v>
      </c>
      <c r="D229" s="35" t="s">
        <v>59</v>
      </c>
      <c r="F229" s="31">
        <v>1500</v>
      </c>
      <c r="G229" s="32">
        <v>2000</v>
      </c>
      <c r="H229" s="30">
        <v>0.33333333333333331</v>
      </c>
      <c r="I229">
        <v>2</v>
      </c>
      <c r="J229" s="26">
        <v>200</v>
      </c>
      <c r="L229" s="6">
        <v>0</v>
      </c>
      <c r="M229" s="6">
        <v>0</v>
      </c>
      <c r="N229" s="6">
        <v>2</v>
      </c>
      <c r="P229" s="15" t="s">
        <v>81</v>
      </c>
      <c r="Q229" s="10">
        <v>3000</v>
      </c>
    </row>
    <row r="230" spans="1:17" x14ac:dyDescent="0.25">
      <c r="B230" s="24" t="s">
        <v>331</v>
      </c>
      <c r="C230" s="34" t="s">
        <v>54</v>
      </c>
      <c r="D230" s="35" t="s">
        <v>59</v>
      </c>
      <c r="F230" s="31">
        <v>1000</v>
      </c>
      <c r="G230" s="32">
        <v>2500</v>
      </c>
      <c r="H230" s="30">
        <v>1.5</v>
      </c>
      <c r="I230">
        <v>5</v>
      </c>
      <c r="J230" s="26">
        <v>2000</v>
      </c>
      <c r="L230" s="6">
        <v>0</v>
      </c>
      <c r="M230" s="6">
        <v>0</v>
      </c>
      <c r="N230" s="6">
        <v>5</v>
      </c>
      <c r="P230" s="15" t="s">
        <v>81</v>
      </c>
      <c r="Q230" s="10">
        <v>5000</v>
      </c>
    </row>
    <row r="231" spans="1:17" x14ac:dyDescent="0.25">
      <c r="B231" s="24" t="s">
        <v>332</v>
      </c>
      <c r="C231" s="34" t="s">
        <v>54</v>
      </c>
      <c r="D231" s="35" t="s">
        <v>59</v>
      </c>
      <c r="F231" s="31">
        <v>800</v>
      </c>
      <c r="G231" s="32">
        <v>1500</v>
      </c>
      <c r="H231" s="30">
        <v>0.875</v>
      </c>
      <c r="J231" s="26">
        <v>1400</v>
      </c>
      <c r="L231" s="6">
        <v>0</v>
      </c>
      <c r="M231" s="6">
        <v>0</v>
      </c>
      <c r="N231" s="6">
        <v>0</v>
      </c>
      <c r="P231" s="15" t="s">
        <v>76</v>
      </c>
      <c r="Q231" s="10">
        <v>0</v>
      </c>
    </row>
    <row r="232" spans="1:17" x14ac:dyDescent="0.25">
      <c r="B232" s="24" t="s">
        <v>333</v>
      </c>
      <c r="C232" s="34" t="s">
        <v>54</v>
      </c>
      <c r="D232" s="35" t="s">
        <v>59</v>
      </c>
      <c r="F232" s="31">
        <v>900</v>
      </c>
      <c r="G232" s="32">
        <v>1500</v>
      </c>
      <c r="H232" s="30">
        <v>0.66666666666666663</v>
      </c>
      <c r="J232" s="26">
        <v>1400</v>
      </c>
      <c r="L232" s="6">
        <v>0</v>
      </c>
      <c r="M232" s="6">
        <v>0</v>
      </c>
      <c r="N232" s="6">
        <v>0</v>
      </c>
      <c r="P232" s="15" t="s">
        <v>76</v>
      </c>
      <c r="Q232" s="10">
        <v>0</v>
      </c>
    </row>
    <row r="233" spans="1:17" x14ac:dyDescent="0.25">
      <c r="B233" s="24" t="s">
        <v>334</v>
      </c>
      <c r="C233" s="34" t="s">
        <v>54</v>
      </c>
      <c r="D233" s="35" t="s">
        <v>59</v>
      </c>
      <c r="F233" s="31">
        <v>1000</v>
      </c>
      <c r="G233" s="33">
        <v>2000</v>
      </c>
      <c r="H233" s="30">
        <v>1</v>
      </c>
      <c r="J233" s="26">
        <v>1800</v>
      </c>
      <c r="L233" s="6">
        <v>0</v>
      </c>
      <c r="M233" s="6">
        <v>0</v>
      </c>
      <c r="N233" s="6">
        <v>0</v>
      </c>
      <c r="P233" s="15" t="s">
        <v>76</v>
      </c>
      <c r="Q233" s="10">
        <v>0</v>
      </c>
    </row>
    <row r="234" spans="1:17" x14ac:dyDescent="0.25">
      <c r="B234" s="24" t="s">
        <v>335</v>
      </c>
      <c r="C234" s="34" t="s">
        <v>54</v>
      </c>
      <c r="D234" s="35" t="s">
        <v>59</v>
      </c>
      <c r="F234" s="31">
        <v>1100</v>
      </c>
      <c r="G234" s="33">
        <v>2000</v>
      </c>
      <c r="H234" s="30">
        <v>0.81818181818181823</v>
      </c>
      <c r="J234" s="26">
        <v>1800</v>
      </c>
      <c r="L234" s="6">
        <v>0</v>
      </c>
      <c r="M234" s="6">
        <v>0</v>
      </c>
      <c r="N234" s="6">
        <v>0</v>
      </c>
      <c r="P234" s="15" t="s">
        <v>76</v>
      </c>
      <c r="Q234" s="10">
        <v>0</v>
      </c>
    </row>
    <row r="235" spans="1:17" x14ac:dyDescent="0.25">
      <c r="B235" s="24" t="s">
        <v>336</v>
      </c>
      <c r="C235" s="34" t="s">
        <v>54</v>
      </c>
      <c r="D235" s="35" t="s">
        <v>88</v>
      </c>
      <c r="E235">
        <v>500</v>
      </c>
      <c r="F235" s="31">
        <v>21250</v>
      </c>
      <c r="G235" s="33">
        <v>25000</v>
      </c>
      <c r="H235" s="30">
        <v>0.1764705882352941</v>
      </c>
      <c r="J235" s="26">
        <v>25000</v>
      </c>
      <c r="L235" s="6">
        <v>0</v>
      </c>
      <c r="M235" s="6">
        <v>0</v>
      </c>
      <c r="N235" s="6">
        <v>0</v>
      </c>
      <c r="P235" s="15" t="s">
        <v>76</v>
      </c>
      <c r="Q235" s="10">
        <v>0</v>
      </c>
    </row>
    <row r="236" spans="1:17" x14ac:dyDescent="0.25">
      <c r="A236" t="s">
        <v>117</v>
      </c>
      <c r="B236" s="24" t="s">
        <v>337</v>
      </c>
      <c r="C236" s="34" t="s">
        <v>54</v>
      </c>
      <c r="D236" s="35" t="s">
        <v>59</v>
      </c>
      <c r="F236" s="36">
        <v>4750</v>
      </c>
      <c r="G236" s="33">
        <v>10000</v>
      </c>
      <c r="H236" s="30">
        <v>1.1052631578947369</v>
      </c>
      <c r="J236" s="26">
        <v>8500</v>
      </c>
      <c r="L236" s="6">
        <v>0</v>
      </c>
      <c r="M236" s="6">
        <v>0</v>
      </c>
      <c r="N236" s="6">
        <v>0</v>
      </c>
      <c r="P236" s="15" t="s">
        <v>76</v>
      </c>
      <c r="Q236" s="10">
        <v>0</v>
      </c>
    </row>
    <row r="237" spans="1:17" x14ac:dyDescent="0.25">
      <c r="A237" t="s">
        <v>107</v>
      </c>
      <c r="B237" s="24" t="s">
        <v>338</v>
      </c>
      <c r="C237" s="8" t="s">
        <v>53</v>
      </c>
      <c r="D237" s="35" t="s">
        <v>59</v>
      </c>
      <c r="F237" s="31">
        <v>1200</v>
      </c>
      <c r="G237" s="33">
        <v>2500</v>
      </c>
      <c r="H237" s="30">
        <v>1.083333333333333</v>
      </c>
      <c r="J237" s="26">
        <v>2000</v>
      </c>
      <c r="L237" s="6">
        <v>0</v>
      </c>
      <c r="M237" s="6">
        <v>0</v>
      </c>
      <c r="N237" s="6">
        <v>0</v>
      </c>
      <c r="P237" s="15" t="s">
        <v>76</v>
      </c>
      <c r="Q237" s="10">
        <v>0</v>
      </c>
    </row>
    <row r="238" spans="1:17" x14ac:dyDescent="0.25">
      <c r="A238" t="s">
        <v>107</v>
      </c>
      <c r="B238" s="24" t="s">
        <v>339</v>
      </c>
      <c r="C238" s="8" t="s">
        <v>53</v>
      </c>
      <c r="D238" s="35" t="s">
        <v>59</v>
      </c>
      <c r="F238" s="31">
        <v>1000</v>
      </c>
      <c r="G238" s="33">
        <v>1500</v>
      </c>
      <c r="H238" s="30">
        <v>0.5</v>
      </c>
      <c r="J238" s="26">
        <v>1300</v>
      </c>
      <c r="L238" s="6">
        <v>0</v>
      </c>
      <c r="M238" s="6">
        <v>0</v>
      </c>
      <c r="N238" s="6">
        <v>0</v>
      </c>
      <c r="P238" s="15" t="s">
        <v>76</v>
      </c>
      <c r="Q238" s="10">
        <v>0</v>
      </c>
    </row>
    <row r="239" spans="1:17" x14ac:dyDescent="0.25">
      <c r="A239" t="s">
        <v>107</v>
      </c>
      <c r="B239" s="24" t="s">
        <v>340</v>
      </c>
      <c r="C239" s="8" t="s">
        <v>53</v>
      </c>
      <c r="D239" s="35" t="s">
        <v>59</v>
      </c>
      <c r="F239" s="31">
        <v>950</v>
      </c>
      <c r="G239" s="33">
        <v>1500</v>
      </c>
      <c r="H239" s="30">
        <v>0.57894736842105265</v>
      </c>
      <c r="J239" s="26">
        <v>1300</v>
      </c>
      <c r="L239" s="6">
        <v>0</v>
      </c>
      <c r="M239" s="6">
        <v>0</v>
      </c>
      <c r="N239" s="6">
        <v>0</v>
      </c>
      <c r="P239" s="15" t="s">
        <v>76</v>
      </c>
      <c r="Q239" s="10">
        <v>0</v>
      </c>
    </row>
    <row r="240" spans="1:17" x14ac:dyDescent="0.25">
      <c r="A240" t="s">
        <v>341</v>
      </c>
      <c r="B240" s="24" t="s">
        <v>342</v>
      </c>
      <c r="C240" s="8" t="s">
        <v>53</v>
      </c>
      <c r="D240" s="35" t="s">
        <v>59</v>
      </c>
      <c r="F240" s="31">
        <v>10000</v>
      </c>
      <c r="G240" s="33">
        <v>20000</v>
      </c>
      <c r="H240" s="30">
        <v>1</v>
      </c>
      <c r="J240" s="26">
        <v>15000</v>
      </c>
      <c r="L240" s="6">
        <v>0</v>
      </c>
      <c r="M240" s="6">
        <v>0</v>
      </c>
      <c r="N240" s="6">
        <v>0</v>
      </c>
      <c r="P240" s="15" t="s">
        <v>76</v>
      </c>
      <c r="Q240" s="10">
        <v>0</v>
      </c>
    </row>
    <row r="241" spans="1:17" x14ac:dyDescent="0.25">
      <c r="A241" t="s">
        <v>341</v>
      </c>
      <c r="B241" s="24" t="s">
        <v>343</v>
      </c>
      <c r="C241" s="8" t="s">
        <v>53</v>
      </c>
      <c r="D241" s="35" t="s">
        <v>59</v>
      </c>
      <c r="F241" s="31">
        <v>20000</v>
      </c>
      <c r="G241" s="33">
        <v>30000</v>
      </c>
      <c r="H241" s="30">
        <v>0.5</v>
      </c>
      <c r="J241" s="26">
        <v>25000</v>
      </c>
      <c r="L241" s="6">
        <v>0</v>
      </c>
      <c r="M241" s="6">
        <v>0</v>
      </c>
      <c r="N241" s="6">
        <v>0</v>
      </c>
      <c r="P241" s="15" t="s">
        <v>76</v>
      </c>
      <c r="Q241" s="10">
        <v>0</v>
      </c>
    </row>
    <row r="242" spans="1:17" x14ac:dyDescent="0.25">
      <c r="A242" t="s">
        <v>341</v>
      </c>
      <c r="B242" s="24" t="s">
        <v>344</v>
      </c>
      <c r="C242" s="8" t="s">
        <v>53</v>
      </c>
      <c r="D242" s="35" t="s">
        <v>59</v>
      </c>
      <c r="F242" s="31">
        <v>25000</v>
      </c>
      <c r="G242" s="33">
        <v>35000</v>
      </c>
      <c r="H242" s="30">
        <v>0.4</v>
      </c>
      <c r="J242" s="26">
        <v>30000</v>
      </c>
      <c r="L242" s="6">
        <v>0</v>
      </c>
      <c r="M242" s="6">
        <v>0</v>
      </c>
      <c r="N242" s="6">
        <v>0</v>
      </c>
      <c r="P242" s="15" t="s">
        <v>76</v>
      </c>
      <c r="Q242" s="10">
        <v>0</v>
      </c>
    </row>
    <row r="243" spans="1:17" x14ac:dyDescent="0.25">
      <c r="A243" t="s">
        <v>243</v>
      </c>
      <c r="B243" s="24" t="s">
        <v>345</v>
      </c>
      <c r="C243" s="29" t="s">
        <v>54</v>
      </c>
      <c r="D243" s="35" t="s">
        <v>255</v>
      </c>
      <c r="E243">
        <v>200</v>
      </c>
      <c r="F243" s="31">
        <v>800</v>
      </c>
      <c r="G243" s="33">
        <v>2000</v>
      </c>
      <c r="H243" s="30">
        <v>1.5</v>
      </c>
      <c r="J243" s="26">
        <v>1500</v>
      </c>
      <c r="L243" s="6">
        <v>0</v>
      </c>
      <c r="M243" s="6">
        <v>0</v>
      </c>
      <c r="N243" s="6">
        <v>0</v>
      </c>
      <c r="P243" s="15" t="s">
        <v>76</v>
      </c>
      <c r="Q243" s="10">
        <v>0</v>
      </c>
    </row>
    <row r="244" spans="1:17" x14ac:dyDescent="0.25">
      <c r="A244" t="s">
        <v>346</v>
      </c>
      <c r="B244" s="24" t="s">
        <v>347</v>
      </c>
      <c r="C244" s="29" t="s">
        <v>52</v>
      </c>
      <c r="D244" s="35" t="s">
        <v>59</v>
      </c>
      <c r="F244" s="31">
        <v>700</v>
      </c>
      <c r="G244" s="33">
        <v>1000</v>
      </c>
      <c r="H244" s="30">
        <v>0.42857142857142849</v>
      </c>
      <c r="J244" s="26"/>
      <c r="L244" s="6">
        <v>0</v>
      </c>
      <c r="M244" s="6">
        <v>0</v>
      </c>
      <c r="N244" s="6">
        <v>0</v>
      </c>
      <c r="P244" s="15" t="s">
        <v>76</v>
      </c>
      <c r="Q244" s="10">
        <v>0</v>
      </c>
    </row>
    <row r="245" spans="1:17" x14ac:dyDescent="0.25">
      <c r="A245" t="s">
        <v>91</v>
      </c>
      <c r="B245" s="24" t="s">
        <v>348</v>
      </c>
      <c r="C245" s="29" t="s">
        <v>54</v>
      </c>
      <c r="D245" s="35" t="s">
        <v>59</v>
      </c>
      <c r="F245" s="31">
        <v>600</v>
      </c>
      <c r="G245" s="33">
        <v>1000</v>
      </c>
      <c r="H245" s="30">
        <v>0.66666666666666663</v>
      </c>
      <c r="J245" s="26">
        <v>900</v>
      </c>
      <c r="L245" s="6">
        <v>0</v>
      </c>
      <c r="M245" s="6">
        <v>0</v>
      </c>
      <c r="N245" s="6">
        <v>0</v>
      </c>
      <c r="P245" s="15" t="s">
        <v>76</v>
      </c>
      <c r="Q245" s="10">
        <v>0</v>
      </c>
    </row>
    <row r="246" spans="1:17" x14ac:dyDescent="0.25">
      <c r="A246" t="s">
        <v>107</v>
      </c>
      <c r="B246" s="24" t="s">
        <v>349</v>
      </c>
      <c r="C246" s="8" t="s">
        <v>53</v>
      </c>
      <c r="D246" s="35" t="s">
        <v>59</v>
      </c>
      <c r="F246" s="31">
        <v>350</v>
      </c>
      <c r="G246" s="33">
        <v>1000</v>
      </c>
      <c r="H246" s="30">
        <v>1.857142857142857</v>
      </c>
      <c r="J246" s="26">
        <v>700</v>
      </c>
      <c r="L246" s="6">
        <v>0</v>
      </c>
      <c r="M246" s="6">
        <v>0</v>
      </c>
      <c r="N246" s="6">
        <v>0</v>
      </c>
      <c r="P246" s="15" t="s">
        <v>76</v>
      </c>
      <c r="Q246" s="10">
        <v>0</v>
      </c>
    </row>
    <row r="247" spans="1:17" x14ac:dyDescent="0.25">
      <c r="A247" t="s">
        <v>341</v>
      </c>
      <c r="B247" s="24" t="s">
        <v>350</v>
      </c>
      <c r="C247" s="8" t="s">
        <v>53</v>
      </c>
      <c r="D247" s="35" t="s">
        <v>59</v>
      </c>
      <c r="F247" s="31">
        <v>1850</v>
      </c>
      <c r="G247" s="33">
        <v>3500</v>
      </c>
      <c r="H247" s="30">
        <v>0.89189189189189189</v>
      </c>
      <c r="J247" s="26">
        <v>3000</v>
      </c>
      <c r="L247" s="6">
        <v>0</v>
      </c>
      <c r="M247" s="6">
        <v>0</v>
      </c>
      <c r="N247" s="6">
        <v>0</v>
      </c>
      <c r="P247" s="15" t="s">
        <v>76</v>
      </c>
      <c r="Q247" s="10">
        <v>0</v>
      </c>
    </row>
    <row r="248" spans="1:17" x14ac:dyDescent="0.25">
      <c r="A248" t="s">
        <v>102</v>
      </c>
      <c r="B248" s="24" t="s">
        <v>351</v>
      </c>
      <c r="C248" s="29" t="s">
        <v>52</v>
      </c>
      <c r="D248" s="35" t="s">
        <v>59</v>
      </c>
      <c r="F248" s="31">
        <v>1900</v>
      </c>
      <c r="G248" s="33">
        <v>4000</v>
      </c>
      <c r="H248" s="30">
        <v>1.1052631578947369</v>
      </c>
      <c r="J248" s="26">
        <v>3000</v>
      </c>
      <c r="L248" s="6">
        <v>0</v>
      </c>
      <c r="M248" s="6">
        <v>0</v>
      </c>
      <c r="N248" s="6">
        <v>0</v>
      </c>
      <c r="P248" s="15" t="s">
        <v>76</v>
      </c>
      <c r="Q248" s="10">
        <v>0</v>
      </c>
    </row>
    <row r="249" spans="1:17" x14ac:dyDescent="0.25">
      <c r="A249" t="s">
        <v>102</v>
      </c>
      <c r="B249" s="24" t="s">
        <v>352</v>
      </c>
      <c r="C249" s="29" t="s">
        <v>52</v>
      </c>
      <c r="D249" s="35" t="s">
        <v>59</v>
      </c>
      <c r="F249" s="31">
        <v>950</v>
      </c>
      <c r="G249" s="33">
        <v>2500</v>
      </c>
      <c r="H249" s="30">
        <v>1.631578947368421</v>
      </c>
      <c r="J249" s="26">
        <v>2000</v>
      </c>
      <c r="L249" s="6">
        <v>0</v>
      </c>
      <c r="M249" s="6">
        <v>0</v>
      </c>
      <c r="N249" s="6">
        <v>0</v>
      </c>
      <c r="P249" s="15" t="s">
        <v>76</v>
      </c>
      <c r="Q249" s="10">
        <v>0</v>
      </c>
    </row>
    <row r="250" spans="1:17" x14ac:dyDescent="0.25">
      <c r="A250" t="s">
        <v>243</v>
      </c>
      <c r="B250" s="24" t="s">
        <v>353</v>
      </c>
      <c r="C250" s="29" t="s">
        <v>54</v>
      </c>
      <c r="D250" s="35" t="s">
        <v>255</v>
      </c>
      <c r="E250">
        <v>500</v>
      </c>
      <c r="F250" s="31">
        <v>1500</v>
      </c>
      <c r="G250" s="33">
        <v>2500</v>
      </c>
      <c r="H250" s="30">
        <v>0.66666666666666663</v>
      </c>
      <c r="J250" s="26">
        <v>2000</v>
      </c>
      <c r="L250" s="6">
        <v>0</v>
      </c>
      <c r="M250" s="6">
        <v>0</v>
      </c>
      <c r="N250" s="6">
        <v>0</v>
      </c>
      <c r="P250" s="15" t="s">
        <v>76</v>
      </c>
      <c r="Q250" s="10">
        <v>0</v>
      </c>
    </row>
    <row r="251" spans="1:17" x14ac:dyDescent="0.25">
      <c r="A251" t="s">
        <v>102</v>
      </c>
      <c r="B251" s="24" t="s">
        <v>354</v>
      </c>
      <c r="C251" s="29" t="s">
        <v>54</v>
      </c>
      <c r="D251" s="35" t="s">
        <v>84</v>
      </c>
      <c r="F251" s="31">
        <v>34000</v>
      </c>
      <c r="G251" s="33">
        <v>45000</v>
      </c>
      <c r="H251" s="30">
        <v>0.3235294117647059</v>
      </c>
      <c r="I251">
        <v>1</v>
      </c>
      <c r="J251" s="26">
        <v>40000</v>
      </c>
      <c r="L251" s="6">
        <v>0</v>
      </c>
      <c r="M251" s="6">
        <v>0</v>
      </c>
      <c r="N251" s="6">
        <v>1</v>
      </c>
      <c r="P251" s="15" t="s">
        <v>81</v>
      </c>
      <c r="Q251" s="10">
        <v>34000</v>
      </c>
    </row>
    <row r="252" spans="1:17" x14ac:dyDescent="0.25">
      <c r="A252" t="s">
        <v>92</v>
      </c>
      <c r="B252" s="24" t="s">
        <v>355</v>
      </c>
      <c r="C252" s="29" t="s">
        <v>54</v>
      </c>
      <c r="D252" s="35" t="s">
        <v>59</v>
      </c>
      <c r="F252" s="31">
        <v>750</v>
      </c>
      <c r="G252" s="33">
        <v>1000</v>
      </c>
      <c r="H252" s="30">
        <v>0.33333333333333331</v>
      </c>
      <c r="J252" s="26">
        <v>1000</v>
      </c>
      <c r="L252" s="6">
        <v>0</v>
      </c>
      <c r="M252" s="6">
        <v>0</v>
      </c>
      <c r="N252" s="6">
        <v>0</v>
      </c>
      <c r="P252" s="15" t="s">
        <v>76</v>
      </c>
      <c r="Q252" s="10">
        <v>0</v>
      </c>
    </row>
    <row r="253" spans="1:17" x14ac:dyDescent="0.25">
      <c r="A253" t="s">
        <v>91</v>
      </c>
      <c r="B253" s="24" t="s">
        <v>356</v>
      </c>
      <c r="C253" s="29" t="s">
        <v>54</v>
      </c>
      <c r="D253" s="35" t="s">
        <v>255</v>
      </c>
      <c r="F253" s="33">
        <v>2500</v>
      </c>
      <c r="G253" s="33"/>
      <c r="H253" s="30">
        <v>-1</v>
      </c>
      <c r="I253">
        <v>1</v>
      </c>
      <c r="J253" s="26"/>
      <c r="L253" s="6">
        <v>0</v>
      </c>
      <c r="M253" s="6">
        <v>0</v>
      </c>
      <c r="N253" s="6">
        <v>1</v>
      </c>
      <c r="P253" s="15" t="s">
        <v>81</v>
      </c>
      <c r="Q253" s="10">
        <v>2500</v>
      </c>
    </row>
    <row r="254" spans="1:17" x14ac:dyDescent="0.25">
      <c r="A254" t="s">
        <v>91</v>
      </c>
      <c r="B254" s="24" t="s">
        <v>357</v>
      </c>
      <c r="C254" s="29" t="s">
        <v>54</v>
      </c>
      <c r="D254" s="35" t="s">
        <v>255</v>
      </c>
      <c r="F254" s="33">
        <v>2000</v>
      </c>
      <c r="G254" s="33"/>
      <c r="H254" s="30">
        <v>-1</v>
      </c>
      <c r="I254">
        <v>1</v>
      </c>
      <c r="J254" s="26"/>
      <c r="L254" s="6">
        <v>0</v>
      </c>
      <c r="M254" s="6">
        <v>0</v>
      </c>
      <c r="N254" s="6">
        <v>1</v>
      </c>
      <c r="P254" s="15" t="s">
        <v>81</v>
      </c>
      <c r="Q254" s="10">
        <v>2000</v>
      </c>
    </row>
    <row r="255" spans="1:17" x14ac:dyDescent="0.25">
      <c r="A255" t="s">
        <v>91</v>
      </c>
      <c r="B255" s="24" t="s">
        <v>358</v>
      </c>
      <c r="C255" s="29" t="s">
        <v>54</v>
      </c>
      <c r="D255" s="35" t="s">
        <v>255</v>
      </c>
      <c r="F255" s="33">
        <v>1500</v>
      </c>
      <c r="G255" s="33"/>
      <c r="H255" s="30">
        <v>-1</v>
      </c>
      <c r="J255" s="26"/>
      <c r="L255" s="6">
        <v>0</v>
      </c>
      <c r="M255" s="6">
        <v>0</v>
      </c>
      <c r="N255" s="6">
        <v>0</v>
      </c>
      <c r="P255" s="15" t="s">
        <v>76</v>
      </c>
      <c r="Q255" s="10">
        <v>0</v>
      </c>
    </row>
    <row r="256" spans="1:17" x14ac:dyDescent="0.25">
      <c r="A256" t="s">
        <v>107</v>
      </c>
      <c r="B256" s="37" t="s">
        <v>359</v>
      </c>
      <c r="C256" s="8" t="s">
        <v>53</v>
      </c>
      <c r="D256" s="39" t="s">
        <v>59</v>
      </c>
      <c r="F256" s="33">
        <v>1500</v>
      </c>
      <c r="G256" s="33">
        <v>3000</v>
      </c>
      <c r="H256" s="40">
        <v>1</v>
      </c>
      <c r="J256" s="26">
        <v>2700</v>
      </c>
      <c r="L256" s="6">
        <v>0</v>
      </c>
      <c r="M256" s="6">
        <v>0</v>
      </c>
      <c r="N256" s="6">
        <v>0</v>
      </c>
      <c r="P256" s="15" t="s">
        <v>76</v>
      </c>
      <c r="Q256" s="7">
        <v>0</v>
      </c>
    </row>
    <row r="257" spans="1:17" x14ac:dyDescent="0.25">
      <c r="A257" t="s">
        <v>360</v>
      </c>
      <c r="B257" s="37" t="s">
        <v>361</v>
      </c>
      <c r="C257" s="8" t="s">
        <v>53</v>
      </c>
      <c r="D257" s="39" t="s">
        <v>59</v>
      </c>
      <c r="F257" s="33">
        <v>2800</v>
      </c>
      <c r="G257" s="33">
        <v>5500</v>
      </c>
      <c r="H257" s="40">
        <v>0.9642857142857143</v>
      </c>
      <c r="J257" s="26">
        <v>4000</v>
      </c>
      <c r="L257" s="6">
        <v>0</v>
      </c>
      <c r="M257" s="6">
        <v>0</v>
      </c>
      <c r="N257" s="6">
        <v>0</v>
      </c>
      <c r="P257" s="15" t="s">
        <v>76</v>
      </c>
      <c r="Q257" s="7">
        <v>0</v>
      </c>
    </row>
    <row r="258" spans="1:17" x14ac:dyDescent="0.25">
      <c r="A258" t="s">
        <v>107</v>
      </c>
      <c r="B258" s="37" t="s">
        <v>362</v>
      </c>
      <c r="C258" s="8" t="s">
        <v>53</v>
      </c>
      <c r="D258" s="39" t="s">
        <v>59</v>
      </c>
      <c r="F258" s="33">
        <v>950</v>
      </c>
      <c r="G258" s="33">
        <v>2000</v>
      </c>
      <c r="H258" s="40">
        <v>1.1052631578947369</v>
      </c>
      <c r="J258" s="26">
        <v>1500</v>
      </c>
      <c r="L258" s="6">
        <v>0</v>
      </c>
      <c r="M258" s="6">
        <v>0</v>
      </c>
      <c r="N258" s="6">
        <v>0</v>
      </c>
      <c r="P258" s="15" t="s">
        <v>76</v>
      </c>
      <c r="Q258" s="7">
        <v>0</v>
      </c>
    </row>
    <row r="259" spans="1:17" x14ac:dyDescent="0.25">
      <c r="A259" t="s">
        <v>107</v>
      </c>
      <c r="B259" s="37" t="s">
        <v>363</v>
      </c>
      <c r="C259" s="8" t="s">
        <v>53</v>
      </c>
      <c r="D259" s="39" t="s">
        <v>59</v>
      </c>
      <c r="F259" s="33">
        <v>550</v>
      </c>
      <c r="G259" s="33">
        <v>1000</v>
      </c>
      <c r="H259" s="40">
        <v>0.81818181818181823</v>
      </c>
      <c r="J259" s="26">
        <v>1000</v>
      </c>
      <c r="L259" s="6">
        <v>0</v>
      </c>
      <c r="M259" s="6">
        <v>0</v>
      </c>
      <c r="N259" s="6">
        <v>0</v>
      </c>
      <c r="P259" s="15" t="s">
        <v>76</v>
      </c>
      <c r="Q259" s="7">
        <v>0</v>
      </c>
    </row>
    <row r="260" spans="1:17" x14ac:dyDescent="0.25">
      <c r="A260" t="s">
        <v>107</v>
      </c>
      <c r="B260" s="37" t="s">
        <v>364</v>
      </c>
      <c r="C260" s="8" t="s">
        <v>53</v>
      </c>
      <c r="D260" s="39" t="s">
        <v>59</v>
      </c>
      <c r="F260" s="33">
        <v>500</v>
      </c>
      <c r="G260" s="33">
        <v>1000</v>
      </c>
      <c r="H260" s="40">
        <v>1</v>
      </c>
      <c r="J260" s="26">
        <v>1000</v>
      </c>
      <c r="L260" s="6">
        <v>0</v>
      </c>
      <c r="M260" s="6">
        <v>0</v>
      </c>
      <c r="N260" s="6">
        <v>0</v>
      </c>
      <c r="P260" s="15" t="s">
        <v>76</v>
      </c>
      <c r="Q260" s="7">
        <v>0</v>
      </c>
    </row>
    <row r="261" spans="1:17" x14ac:dyDescent="0.25">
      <c r="B261" s="37" t="s">
        <v>365</v>
      </c>
      <c r="C261" s="38" t="s">
        <v>54</v>
      </c>
      <c r="D261" s="39" t="s">
        <v>59</v>
      </c>
      <c r="F261" s="33">
        <v>3000</v>
      </c>
      <c r="G261" s="33">
        <v>5000</v>
      </c>
      <c r="H261" s="40">
        <v>0.66666666666666663</v>
      </c>
      <c r="J261" s="26">
        <v>4500</v>
      </c>
      <c r="L261" s="6">
        <v>0</v>
      </c>
      <c r="M261" s="6">
        <v>0</v>
      </c>
      <c r="N261" s="6">
        <v>0</v>
      </c>
      <c r="P261" s="15" t="s">
        <v>76</v>
      </c>
      <c r="Q261" s="7">
        <v>0</v>
      </c>
    </row>
    <row r="262" spans="1:17" x14ac:dyDescent="0.25">
      <c r="B262" s="37" t="s">
        <v>365</v>
      </c>
      <c r="C262" s="38" t="s">
        <v>54</v>
      </c>
      <c r="D262" s="39"/>
      <c r="F262" s="33"/>
      <c r="G262" s="33"/>
      <c r="H262" s="40"/>
      <c r="J262" s="26"/>
      <c r="L262" s="6">
        <v>0</v>
      </c>
      <c r="M262" s="6">
        <v>0</v>
      </c>
      <c r="N262" s="6">
        <v>0</v>
      </c>
      <c r="P262" s="15" t="s">
        <v>76</v>
      </c>
      <c r="Q262" s="7">
        <v>0</v>
      </c>
    </row>
    <row r="263" spans="1:17" x14ac:dyDescent="0.25">
      <c r="A263" t="s">
        <v>366</v>
      </c>
      <c r="B263" s="37" t="s">
        <v>367</v>
      </c>
      <c r="C263" s="38" t="s">
        <v>54</v>
      </c>
      <c r="D263" s="39" t="s">
        <v>59</v>
      </c>
      <c r="F263" s="33">
        <v>6000</v>
      </c>
      <c r="G263" s="33">
        <v>10000</v>
      </c>
      <c r="H263" s="40">
        <v>0.66666666666666663</v>
      </c>
      <c r="I263">
        <v>2</v>
      </c>
      <c r="J263" s="26">
        <v>9500</v>
      </c>
      <c r="L263" s="6">
        <v>0</v>
      </c>
      <c r="M263" s="6">
        <v>0</v>
      </c>
      <c r="N263" s="6">
        <v>2</v>
      </c>
      <c r="P263" s="15" t="s">
        <v>81</v>
      </c>
      <c r="Q263" s="7">
        <v>12000</v>
      </c>
    </row>
    <row r="264" spans="1:17" x14ac:dyDescent="0.25">
      <c r="A264" t="s">
        <v>368</v>
      </c>
      <c r="B264" s="37" t="s">
        <v>369</v>
      </c>
      <c r="C264" s="38" t="s">
        <v>54</v>
      </c>
      <c r="D264" s="39" t="s">
        <v>59</v>
      </c>
      <c r="F264" s="33">
        <v>10000</v>
      </c>
      <c r="G264" s="33">
        <v>15000</v>
      </c>
      <c r="H264" s="40">
        <v>0.5</v>
      </c>
      <c r="I264">
        <v>2</v>
      </c>
      <c r="J264" s="26">
        <v>13000</v>
      </c>
      <c r="L264" s="6">
        <v>0</v>
      </c>
      <c r="M264" s="6">
        <v>0</v>
      </c>
      <c r="N264" s="6">
        <v>2</v>
      </c>
      <c r="P264" s="15" t="s">
        <v>81</v>
      </c>
      <c r="Q264" s="7">
        <v>20000</v>
      </c>
    </row>
    <row r="265" spans="1:17" x14ac:dyDescent="0.25">
      <c r="B265" s="37" t="s">
        <v>370</v>
      </c>
      <c r="C265" s="38" t="s">
        <v>54</v>
      </c>
      <c r="D265" s="39"/>
      <c r="F265" s="33">
        <v>4000</v>
      </c>
      <c r="G265" s="33"/>
      <c r="H265" s="40">
        <v>-1</v>
      </c>
      <c r="J265" s="26"/>
      <c r="L265" s="6">
        <v>0</v>
      </c>
      <c r="M265" s="6">
        <v>0</v>
      </c>
      <c r="N265" s="6">
        <v>0</v>
      </c>
      <c r="P265" s="15" t="s">
        <v>76</v>
      </c>
      <c r="Q265" s="7">
        <v>0</v>
      </c>
    </row>
    <row r="266" spans="1:17" x14ac:dyDescent="0.25">
      <c r="B266" s="37" t="s">
        <v>370</v>
      </c>
      <c r="C266" s="38" t="s">
        <v>54</v>
      </c>
      <c r="D266" s="39" t="s">
        <v>59</v>
      </c>
      <c r="F266" s="33">
        <v>2000</v>
      </c>
      <c r="G266" s="33"/>
      <c r="H266" s="40">
        <v>-1</v>
      </c>
      <c r="J266" s="26"/>
      <c r="L266" s="6">
        <v>0</v>
      </c>
      <c r="M266" s="6">
        <v>0</v>
      </c>
      <c r="N266" s="6">
        <v>0</v>
      </c>
      <c r="P266" s="15" t="s">
        <v>76</v>
      </c>
      <c r="Q266" s="7">
        <v>0</v>
      </c>
    </row>
    <row r="267" spans="1:17" x14ac:dyDescent="0.25">
      <c r="B267" s="37" t="s">
        <v>371</v>
      </c>
      <c r="C267" s="38" t="s">
        <v>54</v>
      </c>
      <c r="D267" s="39" t="s">
        <v>84</v>
      </c>
      <c r="F267" s="33">
        <v>2500</v>
      </c>
      <c r="G267" s="33">
        <v>4500</v>
      </c>
      <c r="H267" s="40">
        <v>0.8</v>
      </c>
      <c r="I267">
        <v>2</v>
      </c>
      <c r="J267" s="26">
        <v>4000</v>
      </c>
      <c r="L267" s="6">
        <v>0</v>
      </c>
      <c r="M267" s="6">
        <v>0</v>
      </c>
      <c r="N267" s="6">
        <v>2</v>
      </c>
      <c r="P267" s="15" t="s">
        <v>81</v>
      </c>
      <c r="Q267" s="7">
        <v>5000</v>
      </c>
    </row>
    <row r="268" spans="1:17" x14ac:dyDescent="0.25">
      <c r="B268" s="37" t="s">
        <v>372</v>
      </c>
      <c r="C268" s="38" t="s">
        <v>54</v>
      </c>
      <c r="D268" s="39" t="s">
        <v>59</v>
      </c>
      <c r="F268" s="33">
        <v>50</v>
      </c>
      <c r="G268" s="33">
        <v>150</v>
      </c>
      <c r="H268" s="40">
        <v>2</v>
      </c>
      <c r="I268">
        <v>11</v>
      </c>
      <c r="J268" s="26">
        <v>150</v>
      </c>
      <c r="L268" s="6">
        <v>0</v>
      </c>
      <c r="M268" s="6">
        <v>0</v>
      </c>
      <c r="N268" s="6">
        <v>11</v>
      </c>
      <c r="P268" s="15" t="s">
        <v>81</v>
      </c>
      <c r="Q268" s="7">
        <v>550</v>
      </c>
    </row>
    <row r="269" spans="1:17" x14ac:dyDescent="0.25">
      <c r="B269" s="37" t="s">
        <v>373</v>
      </c>
      <c r="C269" s="38" t="s">
        <v>54</v>
      </c>
      <c r="D269" s="39" t="s">
        <v>59</v>
      </c>
      <c r="F269" s="33">
        <v>1000</v>
      </c>
      <c r="G269" s="33">
        <v>1500</v>
      </c>
      <c r="H269" s="40">
        <v>0.5</v>
      </c>
      <c r="I269">
        <v>4</v>
      </c>
      <c r="J269" s="26">
        <v>1300</v>
      </c>
      <c r="L269" s="6">
        <v>0</v>
      </c>
      <c r="M269" s="6">
        <v>0</v>
      </c>
      <c r="N269" s="6">
        <v>4</v>
      </c>
      <c r="P269" s="15" t="s">
        <v>81</v>
      </c>
      <c r="Q269" s="7">
        <v>4000</v>
      </c>
    </row>
    <row r="270" spans="1:17" x14ac:dyDescent="0.25">
      <c r="B270" s="37" t="s">
        <v>374</v>
      </c>
      <c r="C270" s="38" t="s">
        <v>54</v>
      </c>
      <c r="D270" s="39" t="s">
        <v>59</v>
      </c>
      <c r="F270" s="33">
        <v>200</v>
      </c>
      <c r="G270" s="33">
        <v>500</v>
      </c>
      <c r="H270" s="40">
        <v>1.5</v>
      </c>
      <c r="I270">
        <v>4</v>
      </c>
      <c r="J270" s="26">
        <v>500</v>
      </c>
      <c r="L270" s="6">
        <v>0</v>
      </c>
      <c r="M270" s="6">
        <v>0</v>
      </c>
      <c r="N270" s="6">
        <v>4</v>
      </c>
      <c r="P270" s="15" t="s">
        <v>81</v>
      </c>
      <c r="Q270" s="7">
        <v>800</v>
      </c>
    </row>
    <row r="271" spans="1:17" x14ac:dyDescent="0.25">
      <c r="B271" s="37" t="s">
        <v>375</v>
      </c>
      <c r="C271" s="38" t="s">
        <v>54</v>
      </c>
      <c r="D271" s="39" t="s">
        <v>59</v>
      </c>
      <c r="F271" s="33">
        <v>200</v>
      </c>
      <c r="G271" s="33">
        <v>500</v>
      </c>
      <c r="H271" s="40">
        <v>1.5</v>
      </c>
      <c r="I271">
        <v>1</v>
      </c>
      <c r="J271" s="26">
        <v>500</v>
      </c>
      <c r="L271" s="6">
        <v>0</v>
      </c>
      <c r="M271" s="6">
        <v>0</v>
      </c>
      <c r="N271" s="6">
        <v>1</v>
      </c>
      <c r="P271" s="15" t="s">
        <v>81</v>
      </c>
      <c r="Q271" s="7">
        <v>200</v>
      </c>
    </row>
    <row r="272" spans="1:17" x14ac:dyDescent="0.25">
      <c r="B272" s="37" t="s">
        <v>376</v>
      </c>
      <c r="C272" s="38" t="s">
        <v>54</v>
      </c>
      <c r="D272" s="39" t="s">
        <v>59</v>
      </c>
      <c r="F272" s="33">
        <v>500</v>
      </c>
      <c r="G272" s="33">
        <v>2000</v>
      </c>
      <c r="H272" s="40">
        <v>3</v>
      </c>
      <c r="I272">
        <v>4</v>
      </c>
      <c r="J272" s="26">
        <v>1500</v>
      </c>
      <c r="L272" s="6">
        <v>0</v>
      </c>
      <c r="M272" s="6">
        <v>0</v>
      </c>
      <c r="N272" s="6">
        <v>4</v>
      </c>
      <c r="P272" s="15" t="s">
        <v>81</v>
      </c>
      <c r="Q272" s="7">
        <v>2000</v>
      </c>
    </row>
    <row r="273" spans="1:17" x14ac:dyDescent="0.25">
      <c r="B273" s="37" t="s">
        <v>377</v>
      </c>
      <c r="C273" s="38" t="s">
        <v>54</v>
      </c>
      <c r="D273" s="39" t="s">
        <v>59</v>
      </c>
      <c r="F273" s="33">
        <v>1500</v>
      </c>
      <c r="G273" s="33">
        <v>2500</v>
      </c>
      <c r="H273" s="40">
        <v>0.66666666666666663</v>
      </c>
      <c r="J273" s="26">
        <v>1500</v>
      </c>
      <c r="L273" s="6">
        <v>0</v>
      </c>
      <c r="M273" s="6">
        <v>0</v>
      </c>
      <c r="N273" s="6">
        <v>0</v>
      </c>
      <c r="P273" s="15" t="s">
        <v>76</v>
      </c>
      <c r="Q273" s="7">
        <v>0</v>
      </c>
    </row>
    <row r="274" spans="1:17" x14ac:dyDescent="0.25">
      <c r="B274" s="37" t="s">
        <v>378</v>
      </c>
      <c r="C274" s="38" t="s">
        <v>54</v>
      </c>
      <c r="D274" s="39" t="s">
        <v>59</v>
      </c>
      <c r="F274" s="33">
        <v>1700</v>
      </c>
      <c r="G274" s="33">
        <v>3000</v>
      </c>
      <c r="H274" s="40">
        <v>0.76470588235294112</v>
      </c>
      <c r="J274" s="26">
        <v>2700</v>
      </c>
      <c r="L274" s="6">
        <v>0</v>
      </c>
      <c r="M274" s="6">
        <v>0</v>
      </c>
      <c r="N274" s="6">
        <v>0</v>
      </c>
      <c r="P274" s="15" t="s">
        <v>76</v>
      </c>
      <c r="Q274" s="7">
        <v>0</v>
      </c>
    </row>
    <row r="275" spans="1:17" x14ac:dyDescent="0.25">
      <c r="A275" t="s">
        <v>158</v>
      </c>
      <c r="B275" t="s">
        <v>379</v>
      </c>
      <c r="C275" t="s">
        <v>380</v>
      </c>
      <c r="D275" t="s">
        <v>79</v>
      </c>
      <c r="F275">
        <v>500</v>
      </c>
      <c r="G275">
        <v>100</v>
      </c>
      <c r="H275" s="40">
        <v>-0.8</v>
      </c>
      <c r="J275" s="26"/>
      <c r="L275" s="6">
        <v>0</v>
      </c>
      <c r="M275" s="6">
        <v>0</v>
      </c>
      <c r="N275" s="6">
        <v>0</v>
      </c>
      <c r="P275" s="15" t="s">
        <v>76</v>
      </c>
      <c r="Q275" s="7">
        <v>0</v>
      </c>
    </row>
    <row r="276" spans="1:17" x14ac:dyDescent="0.25">
      <c r="A276" t="s">
        <v>162</v>
      </c>
      <c r="B276" t="s">
        <v>381</v>
      </c>
      <c r="C276" t="s">
        <v>380</v>
      </c>
      <c r="D276" t="s">
        <v>59</v>
      </c>
      <c r="F276">
        <v>1400</v>
      </c>
      <c r="G276">
        <v>3000</v>
      </c>
      <c r="H276" s="40">
        <v>1.142857142857143</v>
      </c>
      <c r="J276" s="26">
        <v>2000</v>
      </c>
      <c r="L276" s="6">
        <v>0</v>
      </c>
      <c r="M276" s="6">
        <v>0</v>
      </c>
      <c r="N276" s="6">
        <v>0</v>
      </c>
      <c r="P276" s="15" t="s">
        <v>76</v>
      </c>
      <c r="Q276" s="7">
        <v>0</v>
      </c>
    </row>
    <row r="277" spans="1:17" x14ac:dyDescent="0.25">
      <c r="A277" t="s">
        <v>162</v>
      </c>
      <c r="B277" t="s">
        <v>381</v>
      </c>
      <c r="C277" t="s">
        <v>380</v>
      </c>
      <c r="D277" t="s">
        <v>59</v>
      </c>
      <c r="F277">
        <v>1700</v>
      </c>
      <c r="G277">
        <v>4500</v>
      </c>
      <c r="H277" s="40">
        <v>1.6470588235294119</v>
      </c>
      <c r="J277" s="26">
        <v>3000</v>
      </c>
      <c r="L277" s="6">
        <v>0</v>
      </c>
      <c r="M277" s="6">
        <v>0</v>
      </c>
      <c r="N277" s="6">
        <v>0</v>
      </c>
      <c r="P277" s="15" t="s">
        <v>76</v>
      </c>
      <c r="Q277" s="7">
        <v>0</v>
      </c>
    </row>
    <row r="278" spans="1:17" x14ac:dyDescent="0.25">
      <c r="A278" t="s">
        <v>92</v>
      </c>
      <c r="B278" t="s">
        <v>382</v>
      </c>
      <c r="C278" s="38" t="s">
        <v>54</v>
      </c>
      <c r="D278" t="s">
        <v>59</v>
      </c>
      <c r="F278">
        <v>500</v>
      </c>
      <c r="G278">
        <v>1000</v>
      </c>
      <c r="H278" s="40">
        <v>1</v>
      </c>
      <c r="J278" s="26">
        <v>900</v>
      </c>
      <c r="L278" s="6">
        <v>0</v>
      </c>
      <c r="M278" s="6">
        <v>0</v>
      </c>
      <c r="N278" s="6">
        <v>0</v>
      </c>
      <c r="P278" s="15" t="s">
        <v>76</v>
      </c>
      <c r="Q278" s="7">
        <v>0</v>
      </c>
    </row>
    <row r="279" spans="1:17" x14ac:dyDescent="0.25">
      <c r="A279" t="s">
        <v>92</v>
      </c>
      <c r="B279" t="s">
        <v>383</v>
      </c>
      <c r="C279" s="38" t="s">
        <v>54</v>
      </c>
      <c r="D279" t="s">
        <v>59</v>
      </c>
      <c r="F279">
        <v>3500</v>
      </c>
      <c r="G279">
        <v>4000</v>
      </c>
      <c r="H279" s="40">
        <v>0.14285714285714279</v>
      </c>
      <c r="J279" s="26">
        <v>4000</v>
      </c>
      <c r="L279" s="6">
        <v>0</v>
      </c>
      <c r="M279" s="6">
        <v>0</v>
      </c>
      <c r="N279" s="6">
        <v>0</v>
      </c>
      <c r="P279" s="15" t="s">
        <v>76</v>
      </c>
      <c r="Q279" s="7">
        <v>0</v>
      </c>
    </row>
    <row r="280" spans="1:17" x14ac:dyDescent="0.25">
      <c r="A280" t="s">
        <v>92</v>
      </c>
      <c r="B280" t="s">
        <v>384</v>
      </c>
      <c r="C280" s="38" t="s">
        <v>54</v>
      </c>
      <c r="D280" t="s">
        <v>59</v>
      </c>
      <c r="F280">
        <v>2200</v>
      </c>
      <c r="G280">
        <v>3000</v>
      </c>
      <c r="H280" s="40">
        <v>0.36363636363636359</v>
      </c>
      <c r="J280" s="26">
        <v>3000</v>
      </c>
      <c r="L280" s="6">
        <v>0</v>
      </c>
      <c r="M280" s="6">
        <v>0</v>
      </c>
      <c r="N280" s="6">
        <v>0</v>
      </c>
      <c r="P280" s="15" t="s">
        <v>76</v>
      </c>
      <c r="Q280" s="7">
        <v>0</v>
      </c>
    </row>
    <row r="281" spans="1:17" x14ac:dyDescent="0.25">
      <c r="B281" t="s">
        <v>385</v>
      </c>
      <c r="C281" s="38" t="s">
        <v>52</v>
      </c>
      <c r="D281" t="s">
        <v>59</v>
      </c>
      <c r="F281">
        <v>50</v>
      </c>
      <c r="G281">
        <v>500</v>
      </c>
      <c r="H281" s="40">
        <v>9</v>
      </c>
      <c r="J281" s="26">
        <v>350</v>
      </c>
      <c r="L281" s="6">
        <v>0</v>
      </c>
      <c r="M281" s="6">
        <v>0</v>
      </c>
      <c r="N281" s="6">
        <v>0</v>
      </c>
      <c r="P281" s="15" t="s">
        <v>76</v>
      </c>
      <c r="Q281" s="7">
        <v>0</v>
      </c>
    </row>
    <row r="282" spans="1:17" x14ac:dyDescent="0.25">
      <c r="B282" t="s">
        <v>386</v>
      </c>
      <c r="C282" s="38" t="s">
        <v>52</v>
      </c>
      <c r="D282" t="s">
        <v>59</v>
      </c>
      <c r="F282">
        <v>100</v>
      </c>
      <c r="G282">
        <v>500</v>
      </c>
      <c r="H282" s="40">
        <v>4</v>
      </c>
      <c r="J282" s="26">
        <v>400</v>
      </c>
      <c r="L282" s="6">
        <v>0</v>
      </c>
      <c r="M282" s="6">
        <v>0</v>
      </c>
      <c r="N282" s="6">
        <v>0</v>
      </c>
      <c r="P282" s="15" t="s">
        <v>76</v>
      </c>
      <c r="Q282" s="7">
        <v>0</v>
      </c>
    </row>
    <row r="283" spans="1:17" x14ac:dyDescent="0.25">
      <c r="B283" t="s">
        <v>387</v>
      </c>
      <c r="C283" s="38" t="s">
        <v>52</v>
      </c>
      <c r="D283" t="s">
        <v>59</v>
      </c>
      <c r="F283">
        <v>100</v>
      </c>
      <c r="G283">
        <v>500</v>
      </c>
      <c r="H283" s="40">
        <v>4</v>
      </c>
      <c r="J283" s="26">
        <v>400</v>
      </c>
      <c r="L283" s="6">
        <v>0</v>
      </c>
      <c r="M283" s="6">
        <v>0</v>
      </c>
      <c r="N283" s="6">
        <v>0</v>
      </c>
      <c r="P283" s="15" t="s">
        <v>76</v>
      </c>
      <c r="Q283" s="7">
        <v>0</v>
      </c>
    </row>
    <row r="284" spans="1:17" x14ac:dyDescent="0.25">
      <c r="B284" t="s">
        <v>388</v>
      </c>
      <c r="C284" s="38" t="s">
        <v>52</v>
      </c>
      <c r="D284" t="s">
        <v>59</v>
      </c>
      <c r="F284">
        <v>50</v>
      </c>
      <c r="G284">
        <v>500</v>
      </c>
      <c r="H284" s="40">
        <v>9</v>
      </c>
      <c r="J284" s="26">
        <v>350</v>
      </c>
      <c r="L284" s="6">
        <v>0</v>
      </c>
      <c r="M284" s="6">
        <v>0</v>
      </c>
      <c r="N284" s="6">
        <v>0</v>
      </c>
      <c r="P284" s="15" t="s">
        <v>76</v>
      </c>
      <c r="Q284" s="7">
        <v>0</v>
      </c>
    </row>
    <row r="285" spans="1:17" x14ac:dyDescent="0.25">
      <c r="B285" t="s">
        <v>389</v>
      </c>
      <c r="C285" s="38" t="s">
        <v>52</v>
      </c>
      <c r="D285" t="s">
        <v>59</v>
      </c>
      <c r="F285">
        <v>250</v>
      </c>
      <c r="G285">
        <v>600</v>
      </c>
      <c r="H285" s="40">
        <v>1.4</v>
      </c>
      <c r="J285" s="26">
        <v>500</v>
      </c>
      <c r="L285" s="6">
        <v>0</v>
      </c>
      <c r="M285" s="6">
        <v>0</v>
      </c>
      <c r="N285" s="6">
        <v>0</v>
      </c>
      <c r="P285" s="15" t="s">
        <v>76</v>
      </c>
      <c r="Q285" s="7">
        <v>0</v>
      </c>
    </row>
    <row r="286" spans="1:17" x14ac:dyDescent="0.25">
      <c r="B286" t="s">
        <v>390</v>
      </c>
      <c r="C286" s="38" t="s">
        <v>52</v>
      </c>
      <c r="D286" t="s">
        <v>59</v>
      </c>
      <c r="F286">
        <v>1000</v>
      </c>
      <c r="G286">
        <v>2000</v>
      </c>
      <c r="H286" s="40">
        <v>1</v>
      </c>
      <c r="J286" s="26">
        <v>1500</v>
      </c>
      <c r="L286" s="6">
        <v>0</v>
      </c>
      <c r="M286" s="6">
        <v>0</v>
      </c>
      <c r="N286" s="6">
        <v>0</v>
      </c>
      <c r="P286" s="15" t="s">
        <v>76</v>
      </c>
      <c r="Q286" s="7">
        <v>0</v>
      </c>
    </row>
    <row r="287" spans="1:17" x14ac:dyDescent="0.25">
      <c r="B287" t="s">
        <v>391</v>
      </c>
      <c r="C287" s="38" t="s">
        <v>52</v>
      </c>
      <c r="D287" t="s">
        <v>59</v>
      </c>
      <c r="F287">
        <v>5500</v>
      </c>
      <c r="G287">
        <v>9000</v>
      </c>
      <c r="H287" s="40">
        <v>0.63636363636363635</v>
      </c>
      <c r="J287" s="26">
        <v>8500</v>
      </c>
      <c r="L287" s="6">
        <v>0</v>
      </c>
      <c r="M287" s="6">
        <v>0</v>
      </c>
      <c r="N287" s="6">
        <v>0</v>
      </c>
      <c r="P287" s="15" t="s">
        <v>76</v>
      </c>
      <c r="Q287" s="7">
        <v>0</v>
      </c>
    </row>
    <row r="288" spans="1:17" x14ac:dyDescent="0.25">
      <c r="B288" t="s">
        <v>392</v>
      </c>
      <c r="C288" s="38" t="s">
        <v>52</v>
      </c>
      <c r="D288" t="s">
        <v>59</v>
      </c>
      <c r="F288">
        <v>4500</v>
      </c>
      <c r="G288">
        <v>7000</v>
      </c>
      <c r="H288" s="40">
        <v>0.55555555555555558</v>
      </c>
      <c r="J288" s="26">
        <v>6500</v>
      </c>
      <c r="L288" s="6">
        <v>0</v>
      </c>
      <c r="M288" s="6">
        <v>0</v>
      </c>
      <c r="N288" s="6">
        <v>0</v>
      </c>
      <c r="P288" s="15" t="s">
        <v>76</v>
      </c>
      <c r="Q288" s="7">
        <v>0</v>
      </c>
    </row>
    <row r="289" spans="2:17" x14ac:dyDescent="0.25">
      <c r="B289" t="s">
        <v>393</v>
      </c>
      <c r="C289" s="38" t="s">
        <v>52</v>
      </c>
      <c r="D289" t="s">
        <v>59</v>
      </c>
      <c r="F289">
        <v>6500</v>
      </c>
      <c r="G289">
        <v>10000</v>
      </c>
      <c r="H289" s="40">
        <v>0.53846153846153844</v>
      </c>
      <c r="J289" s="26">
        <v>9500</v>
      </c>
      <c r="L289" s="6">
        <v>0</v>
      </c>
      <c r="M289" s="6">
        <v>0</v>
      </c>
      <c r="N289" s="6">
        <v>0</v>
      </c>
      <c r="P289" s="15" t="s">
        <v>76</v>
      </c>
      <c r="Q289" s="7">
        <v>0</v>
      </c>
    </row>
    <row r="290" spans="2:17" x14ac:dyDescent="0.25">
      <c r="B290" t="s">
        <v>394</v>
      </c>
      <c r="C290" s="38" t="s">
        <v>52</v>
      </c>
      <c r="D290" t="s">
        <v>59</v>
      </c>
      <c r="F290">
        <v>3200</v>
      </c>
      <c r="G290">
        <v>5000</v>
      </c>
      <c r="H290" s="40">
        <v>0.5625</v>
      </c>
      <c r="J290" s="26">
        <v>4500</v>
      </c>
      <c r="L290" s="6">
        <v>0</v>
      </c>
      <c r="M290" s="6">
        <v>0</v>
      </c>
      <c r="N290" s="6">
        <v>0</v>
      </c>
      <c r="P290" s="15" t="s">
        <v>76</v>
      </c>
      <c r="Q290" s="7">
        <v>0</v>
      </c>
    </row>
    <row r="291" spans="2:17" x14ac:dyDescent="0.25">
      <c r="B291" t="s">
        <v>395</v>
      </c>
      <c r="C291" s="38" t="s">
        <v>52</v>
      </c>
      <c r="D291" t="s">
        <v>59</v>
      </c>
      <c r="F291">
        <v>1750</v>
      </c>
      <c r="G291">
        <v>3000</v>
      </c>
      <c r="H291" s="40">
        <v>0.7142857142857143</v>
      </c>
      <c r="J291" s="26">
        <v>2500</v>
      </c>
      <c r="L291" s="6">
        <v>0</v>
      </c>
      <c r="M291" s="6">
        <v>0</v>
      </c>
      <c r="N291" s="6">
        <v>0</v>
      </c>
      <c r="P291" s="15" t="s">
        <v>76</v>
      </c>
      <c r="Q291" s="7">
        <v>0</v>
      </c>
    </row>
    <row r="292" spans="2:17" x14ac:dyDescent="0.25">
      <c r="B292" t="s">
        <v>396</v>
      </c>
      <c r="C292" s="38" t="s">
        <v>52</v>
      </c>
      <c r="D292" t="s">
        <v>59</v>
      </c>
      <c r="F292">
        <v>300</v>
      </c>
      <c r="G292">
        <v>500</v>
      </c>
      <c r="H292" s="40">
        <v>0.66666666666666663</v>
      </c>
      <c r="J292" s="26">
        <v>500</v>
      </c>
      <c r="L292" s="6">
        <v>0</v>
      </c>
      <c r="M292" s="6">
        <v>0</v>
      </c>
      <c r="N292" s="6">
        <v>0</v>
      </c>
      <c r="P292" s="15" t="s">
        <v>76</v>
      </c>
      <c r="Q292" s="7">
        <v>0</v>
      </c>
    </row>
    <row r="293" spans="2:17" x14ac:dyDescent="0.25">
      <c r="B293" t="s">
        <v>397</v>
      </c>
      <c r="C293" s="38" t="s">
        <v>52</v>
      </c>
      <c r="D293" t="s">
        <v>59</v>
      </c>
      <c r="F293">
        <v>300</v>
      </c>
      <c r="G293">
        <v>500</v>
      </c>
      <c r="H293" s="40">
        <v>0.66666666666666663</v>
      </c>
      <c r="J293" s="26">
        <v>500</v>
      </c>
      <c r="L293" s="6">
        <v>0</v>
      </c>
      <c r="M293" s="6">
        <v>0</v>
      </c>
      <c r="N293" s="6">
        <v>0</v>
      </c>
      <c r="P293" s="15" t="s">
        <v>76</v>
      </c>
      <c r="Q293" s="7">
        <v>0</v>
      </c>
    </row>
    <row r="294" spans="2:17" x14ac:dyDescent="0.25">
      <c r="B294" t="s">
        <v>398</v>
      </c>
      <c r="C294" s="38" t="s">
        <v>52</v>
      </c>
      <c r="D294" t="s">
        <v>59</v>
      </c>
      <c r="F294">
        <v>250</v>
      </c>
      <c r="G294">
        <v>500</v>
      </c>
      <c r="H294" s="40">
        <v>1</v>
      </c>
      <c r="J294" s="26">
        <v>500</v>
      </c>
      <c r="L294" s="6">
        <v>0</v>
      </c>
      <c r="M294" s="6">
        <v>0</v>
      </c>
      <c r="N294" s="6">
        <v>0</v>
      </c>
      <c r="P294" s="15" t="s">
        <v>76</v>
      </c>
      <c r="Q294" s="7">
        <v>0</v>
      </c>
    </row>
    <row r="295" spans="2:17" x14ac:dyDescent="0.25">
      <c r="B295" t="s">
        <v>399</v>
      </c>
      <c r="C295" s="38" t="s">
        <v>52</v>
      </c>
      <c r="D295" t="s">
        <v>59</v>
      </c>
      <c r="E295">
        <v>1000</v>
      </c>
      <c r="F295">
        <v>40000</v>
      </c>
      <c r="G295">
        <v>45000</v>
      </c>
      <c r="H295" s="40">
        <v>0.125</v>
      </c>
      <c r="J295" s="26">
        <v>45000</v>
      </c>
      <c r="L295" s="6">
        <v>0</v>
      </c>
      <c r="M295" s="6">
        <v>0</v>
      </c>
      <c r="N295" s="6">
        <v>0</v>
      </c>
      <c r="P295" s="15" t="s">
        <v>76</v>
      </c>
      <c r="Q295" s="7">
        <v>0</v>
      </c>
    </row>
    <row r="296" spans="2:17" x14ac:dyDescent="0.25">
      <c r="B296" s="24" t="s">
        <v>400</v>
      </c>
      <c r="C296" s="29" t="s">
        <v>52</v>
      </c>
      <c r="D296" s="35" t="s">
        <v>59</v>
      </c>
      <c r="F296" s="31">
        <v>150</v>
      </c>
      <c r="G296">
        <v>300</v>
      </c>
      <c r="H296" s="40">
        <v>1</v>
      </c>
      <c r="J296" s="26">
        <v>250</v>
      </c>
      <c r="L296" s="6">
        <v>0</v>
      </c>
      <c r="M296" s="6">
        <v>0</v>
      </c>
      <c r="N296" s="6">
        <v>0</v>
      </c>
      <c r="P296" s="15" t="s">
        <v>76</v>
      </c>
      <c r="Q296" s="7">
        <v>0</v>
      </c>
    </row>
    <row r="297" spans="2:17" x14ac:dyDescent="0.25">
      <c r="B297" s="24" t="s">
        <v>401</v>
      </c>
      <c r="C297" s="29" t="s">
        <v>52</v>
      </c>
      <c r="D297" s="35" t="s">
        <v>59</v>
      </c>
      <c r="F297" s="31">
        <v>150</v>
      </c>
      <c r="G297">
        <v>300</v>
      </c>
      <c r="H297" s="40">
        <v>1</v>
      </c>
      <c r="J297" s="26">
        <v>250</v>
      </c>
      <c r="L297" s="6">
        <v>0</v>
      </c>
      <c r="M297" s="6">
        <v>0</v>
      </c>
      <c r="N297" s="6">
        <v>0</v>
      </c>
      <c r="P297" s="15" t="s">
        <v>76</v>
      </c>
      <c r="Q297" s="7">
        <v>0</v>
      </c>
    </row>
    <row r="298" spans="2:17" x14ac:dyDescent="0.25">
      <c r="B298" s="24" t="s">
        <v>402</v>
      </c>
      <c r="C298" s="29" t="s">
        <v>52</v>
      </c>
      <c r="D298" s="35" t="s">
        <v>59</v>
      </c>
      <c r="F298" s="31">
        <v>400</v>
      </c>
      <c r="G298" s="33">
        <v>800</v>
      </c>
      <c r="H298" s="40">
        <v>1</v>
      </c>
      <c r="J298" s="26">
        <v>750</v>
      </c>
      <c r="L298" s="6">
        <v>0</v>
      </c>
      <c r="M298" s="6">
        <v>0</v>
      </c>
      <c r="N298" s="6">
        <v>0</v>
      </c>
      <c r="P298" s="15" t="s">
        <v>76</v>
      </c>
      <c r="Q298" s="7">
        <v>0</v>
      </c>
    </row>
    <row r="299" spans="2:17" x14ac:dyDescent="0.25">
      <c r="B299" s="24" t="s">
        <v>403</v>
      </c>
      <c r="C299" s="29" t="s">
        <v>52</v>
      </c>
      <c r="D299" s="35" t="s">
        <v>59</v>
      </c>
      <c r="F299" s="31">
        <v>600</v>
      </c>
      <c r="G299" s="33">
        <v>1200</v>
      </c>
      <c r="H299" s="40">
        <v>1</v>
      </c>
      <c r="J299" s="26">
        <v>1000</v>
      </c>
      <c r="L299" s="6">
        <v>0</v>
      </c>
      <c r="M299" s="6">
        <v>0</v>
      </c>
      <c r="N299" s="6">
        <v>0</v>
      </c>
      <c r="P299" s="15" t="s">
        <v>76</v>
      </c>
      <c r="Q299" s="7">
        <v>0</v>
      </c>
    </row>
    <row r="300" spans="2:17" x14ac:dyDescent="0.25">
      <c r="B300" t="s">
        <v>404</v>
      </c>
      <c r="C300" s="29" t="s">
        <v>52</v>
      </c>
      <c r="D300" s="35" t="s">
        <v>59</v>
      </c>
      <c r="F300">
        <v>600</v>
      </c>
      <c r="G300">
        <v>1000</v>
      </c>
      <c r="H300" s="40">
        <v>0.66666666666666663</v>
      </c>
      <c r="J300" s="26">
        <v>950</v>
      </c>
      <c r="L300" s="6">
        <v>0</v>
      </c>
      <c r="M300" s="6">
        <v>0</v>
      </c>
      <c r="N300" s="6">
        <v>0</v>
      </c>
      <c r="P300" s="15" t="s">
        <v>76</v>
      </c>
      <c r="Q300" s="7">
        <v>0</v>
      </c>
    </row>
    <row r="301" spans="2:17" x14ac:dyDescent="0.25">
      <c r="B301" t="s">
        <v>405</v>
      </c>
      <c r="C301" s="29" t="s">
        <v>52</v>
      </c>
      <c r="D301" s="35" t="s">
        <v>59</v>
      </c>
      <c r="F301">
        <v>550</v>
      </c>
      <c r="G301">
        <v>1000</v>
      </c>
      <c r="H301" s="40">
        <v>0.81818181818181823</v>
      </c>
      <c r="J301" s="26">
        <v>900</v>
      </c>
      <c r="L301" s="6">
        <v>0</v>
      </c>
      <c r="M301" s="6">
        <v>0</v>
      </c>
      <c r="N301" s="6">
        <v>0</v>
      </c>
      <c r="P301" s="15" t="s">
        <v>76</v>
      </c>
      <c r="Q301" s="7">
        <v>0</v>
      </c>
    </row>
    <row r="302" spans="2:17" x14ac:dyDescent="0.25">
      <c r="B302" t="s">
        <v>406</v>
      </c>
      <c r="C302" s="29" t="s">
        <v>52</v>
      </c>
      <c r="D302" s="35" t="s">
        <v>59</v>
      </c>
      <c r="F302">
        <v>600</v>
      </c>
      <c r="G302">
        <v>1000</v>
      </c>
      <c r="H302" s="40">
        <v>0.66666666666666663</v>
      </c>
      <c r="J302" s="26">
        <v>950</v>
      </c>
      <c r="L302" s="6">
        <v>0</v>
      </c>
      <c r="M302" s="6">
        <v>0</v>
      </c>
      <c r="N302" s="6">
        <v>0</v>
      </c>
      <c r="P302" s="15" t="s">
        <v>76</v>
      </c>
      <c r="Q302" s="7">
        <v>0</v>
      </c>
    </row>
    <row r="303" spans="2:17" x14ac:dyDescent="0.25">
      <c r="B303" t="s">
        <v>407</v>
      </c>
      <c r="C303" s="29" t="s">
        <v>52</v>
      </c>
      <c r="D303" s="35" t="s">
        <v>59</v>
      </c>
      <c r="F303">
        <v>550</v>
      </c>
      <c r="G303">
        <v>1000</v>
      </c>
      <c r="H303" s="40">
        <v>0.81818181818181823</v>
      </c>
      <c r="J303" s="26">
        <v>900</v>
      </c>
      <c r="L303" s="6">
        <v>0</v>
      </c>
      <c r="M303" s="6">
        <v>0</v>
      </c>
      <c r="N303" s="6">
        <v>0</v>
      </c>
      <c r="P303" s="15" t="s">
        <v>76</v>
      </c>
      <c r="Q303" s="7">
        <v>0</v>
      </c>
    </row>
    <row r="304" spans="2:17" x14ac:dyDescent="0.25">
      <c r="B304" t="s">
        <v>408</v>
      </c>
      <c r="C304" s="29" t="s">
        <v>52</v>
      </c>
      <c r="D304" s="35" t="s">
        <v>59</v>
      </c>
      <c r="F304">
        <v>600</v>
      </c>
      <c r="G304">
        <v>1000</v>
      </c>
      <c r="H304" s="40">
        <v>0.66666666666666663</v>
      </c>
      <c r="J304" s="26">
        <v>950</v>
      </c>
      <c r="L304" s="6">
        <v>0</v>
      </c>
      <c r="M304" s="6">
        <v>0</v>
      </c>
      <c r="N304" s="6">
        <v>0</v>
      </c>
      <c r="P304" s="15" t="s">
        <v>76</v>
      </c>
      <c r="Q304" s="7">
        <v>0</v>
      </c>
    </row>
    <row r="305" spans="2:17" x14ac:dyDescent="0.25">
      <c r="B305" t="s">
        <v>409</v>
      </c>
      <c r="C305" s="29" t="s">
        <v>52</v>
      </c>
      <c r="D305" s="35" t="s">
        <v>59</v>
      </c>
      <c r="F305">
        <v>750</v>
      </c>
      <c r="G305">
        <v>1500</v>
      </c>
      <c r="H305" s="40">
        <v>1</v>
      </c>
      <c r="J305" s="26">
        <v>1400</v>
      </c>
      <c r="L305" s="6">
        <v>0</v>
      </c>
      <c r="M305" s="6">
        <v>0</v>
      </c>
      <c r="N305" s="6">
        <v>0</v>
      </c>
      <c r="P305" s="15" t="s">
        <v>76</v>
      </c>
      <c r="Q305" s="7">
        <v>0</v>
      </c>
    </row>
    <row r="306" spans="2:17" x14ac:dyDescent="0.25">
      <c r="B306" t="s">
        <v>410</v>
      </c>
      <c r="C306" s="29" t="s">
        <v>52</v>
      </c>
      <c r="D306" s="35" t="s">
        <v>59</v>
      </c>
      <c r="F306">
        <v>850</v>
      </c>
      <c r="G306">
        <v>1500</v>
      </c>
      <c r="H306" s="40">
        <v>0.76470588235294112</v>
      </c>
      <c r="J306" s="26">
        <v>1400</v>
      </c>
      <c r="L306" s="6">
        <v>0</v>
      </c>
      <c r="M306" s="6">
        <v>0</v>
      </c>
      <c r="N306" s="6">
        <v>0</v>
      </c>
      <c r="P306" s="15" t="s">
        <v>76</v>
      </c>
      <c r="Q306" s="7">
        <v>0</v>
      </c>
    </row>
    <row r="307" spans="2:17" x14ac:dyDescent="0.25">
      <c r="B307" t="s">
        <v>411</v>
      </c>
      <c r="C307" s="29" t="s">
        <v>52</v>
      </c>
      <c r="D307" s="35" t="s">
        <v>59</v>
      </c>
      <c r="F307">
        <v>850</v>
      </c>
      <c r="G307">
        <v>1500</v>
      </c>
      <c r="H307" s="40">
        <v>0.76470588235294112</v>
      </c>
      <c r="J307" s="26">
        <v>1400</v>
      </c>
      <c r="L307" s="6">
        <v>0</v>
      </c>
      <c r="M307" s="6">
        <v>0</v>
      </c>
      <c r="N307" s="6">
        <v>0</v>
      </c>
      <c r="P307" s="15" t="s">
        <v>76</v>
      </c>
      <c r="Q307" s="7">
        <v>0</v>
      </c>
    </row>
    <row r="308" spans="2:17" x14ac:dyDescent="0.25">
      <c r="B308" t="s">
        <v>412</v>
      </c>
      <c r="C308" s="29" t="s">
        <v>52</v>
      </c>
      <c r="D308" s="35" t="s">
        <v>59</v>
      </c>
      <c r="F308">
        <v>850</v>
      </c>
      <c r="G308">
        <v>1500</v>
      </c>
      <c r="H308" s="40">
        <v>0.76470588235294112</v>
      </c>
      <c r="J308" s="26">
        <v>1400</v>
      </c>
      <c r="L308" s="6">
        <v>0</v>
      </c>
      <c r="M308" s="6">
        <v>0</v>
      </c>
      <c r="N308" s="6">
        <v>0</v>
      </c>
      <c r="P308" s="15" t="s">
        <v>76</v>
      </c>
      <c r="Q308" s="7">
        <v>0</v>
      </c>
    </row>
    <row r="309" spans="2:17" x14ac:dyDescent="0.25">
      <c r="B309" t="s">
        <v>413</v>
      </c>
      <c r="C309" s="29" t="s">
        <v>52</v>
      </c>
      <c r="D309" s="35" t="s">
        <v>59</v>
      </c>
      <c r="F309">
        <v>350</v>
      </c>
      <c r="G309">
        <v>1000</v>
      </c>
      <c r="H309" s="40">
        <v>1.857142857142857</v>
      </c>
      <c r="J309" s="26">
        <v>1400</v>
      </c>
      <c r="L309" s="6">
        <v>0</v>
      </c>
      <c r="M309" s="6">
        <v>0</v>
      </c>
      <c r="N309" s="6">
        <v>0</v>
      </c>
      <c r="P309" s="15" t="s">
        <v>76</v>
      </c>
      <c r="Q309" s="7">
        <v>0</v>
      </c>
    </row>
    <row r="310" spans="2:17" x14ac:dyDescent="0.25">
      <c r="B310" t="s">
        <v>414</v>
      </c>
      <c r="C310" s="29" t="s">
        <v>52</v>
      </c>
      <c r="D310" s="35" t="s">
        <v>59</v>
      </c>
      <c r="F310">
        <v>600</v>
      </c>
      <c r="G310">
        <v>1000</v>
      </c>
      <c r="H310" s="40">
        <v>0.66666666666666663</v>
      </c>
      <c r="J310" s="26">
        <v>900</v>
      </c>
      <c r="L310" s="6">
        <v>0</v>
      </c>
      <c r="M310" s="6">
        <v>0</v>
      </c>
      <c r="N310" s="6">
        <v>0</v>
      </c>
      <c r="P310" s="15" t="s">
        <v>76</v>
      </c>
      <c r="Q310" s="7">
        <v>0</v>
      </c>
    </row>
    <row r="311" spans="2:17" x14ac:dyDescent="0.25">
      <c r="B311" t="s">
        <v>415</v>
      </c>
      <c r="C311" s="29" t="s">
        <v>52</v>
      </c>
      <c r="D311" s="35" t="s">
        <v>59</v>
      </c>
      <c r="F311">
        <v>1000</v>
      </c>
      <c r="G311">
        <v>2000</v>
      </c>
      <c r="H311" s="40">
        <v>1</v>
      </c>
      <c r="J311" s="26"/>
      <c r="L311" s="6">
        <v>0</v>
      </c>
      <c r="M311" s="6">
        <v>0</v>
      </c>
      <c r="N311" s="6">
        <v>0</v>
      </c>
      <c r="P311" s="15" t="s">
        <v>76</v>
      </c>
      <c r="Q311" s="7">
        <v>0</v>
      </c>
    </row>
    <row r="312" spans="2:17" x14ac:dyDescent="0.25">
      <c r="B312" t="s">
        <v>416</v>
      </c>
      <c r="C312" s="29" t="s">
        <v>52</v>
      </c>
      <c r="D312" s="35" t="s">
        <v>59</v>
      </c>
      <c r="F312">
        <v>600</v>
      </c>
      <c r="G312">
        <v>1000</v>
      </c>
      <c r="H312" s="40">
        <v>0.66666666666666663</v>
      </c>
      <c r="J312" s="26"/>
      <c r="L312" s="6">
        <v>0</v>
      </c>
      <c r="M312" s="6">
        <v>0</v>
      </c>
      <c r="N312" s="6">
        <v>0</v>
      </c>
      <c r="P312" s="15" t="s">
        <v>76</v>
      </c>
      <c r="Q312" s="7">
        <v>0</v>
      </c>
    </row>
    <row r="313" spans="2:17" x14ac:dyDescent="0.25">
      <c r="B313" t="s">
        <v>417</v>
      </c>
      <c r="C313" s="29" t="s">
        <v>52</v>
      </c>
      <c r="D313" s="35" t="s">
        <v>59</v>
      </c>
      <c r="F313">
        <v>1000</v>
      </c>
      <c r="G313">
        <v>2000</v>
      </c>
      <c r="H313" s="40">
        <v>1</v>
      </c>
      <c r="J313" s="26"/>
      <c r="L313" s="6">
        <v>0</v>
      </c>
      <c r="M313" s="6">
        <v>0</v>
      </c>
      <c r="N313" s="6">
        <v>0</v>
      </c>
      <c r="P313" s="15" t="s">
        <v>76</v>
      </c>
      <c r="Q313" s="7">
        <v>0</v>
      </c>
    </row>
    <row r="314" spans="2:17" x14ac:dyDescent="0.25">
      <c r="B314" t="s">
        <v>418</v>
      </c>
      <c r="C314" s="29" t="s">
        <v>52</v>
      </c>
      <c r="D314" s="35" t="s">
        <v>59</v>
      </c>
      <c r="F314">
        <v>900</v>
      </c>
      <c r="G314">
        <v>2000</v>
      </c>
      <c r="H314" s="40">
        <v>1.2222222222222221</v>
      </c>
      <c r="J314" s="26"/>
      <c r="L314" s="6">
        <v>0</v>
      </c>
      <c r="M314" s="6">
        <v>0</v>
      </c>
      <c r="N314" s="6">
        <v>0</v>
      </c>
      <c r="P314" s="15" t="s">
        <v>76</v>
      </c>
      <c r="Q314" s="7">
        <v>0</v>
      </c>
    </row>
    <row r="315" spans="2:17" x14ac:dyDescent="0.25">
      <c r="B315" t="s">
        <v>419</v>
      </c>
      <c r="C315" s="29" t="s">
        <v>52</v>
      </c>
      <c r="D315" s="35" t="s">
        <v>59</v>
      </c>
      <c r="F315">
        <v>150</v>
      </c>
      <c r="G315">
        <v>500</v>
      </c>
      <c r="H315" s="40">
        <v>2.333333333333333</v>
      </c>
      <c r="J315" s="26"/>
      <c r="L315" s="6">
        <v>0</v>
      </c>
      <c r="M315" s="6">
        <v>0</v>
      </c>
      <c r="N315" s="6">
        <v>0</v>
      </c>
      <c r="P315" s="15" t="s">
        <v>76</v>
      </c>
      <c r="Q315" s="7">
        <v>0</v>
      </c>
    </row>
    <row r="316" spans="2:17" x14ac:dyDescent="0.25">
      <c r="B316" t="s">
        <v>420</v>
      </c>
      <c r="C316" s="29" t="s">
        <v>52</v>
      </c>
      <c r="D316" s="35" t="s">
        <v>59</v>
      </c>
      <c r="F316">
        <v>150</v>
      </c>
      <c r="G316">
        <v>500</v>
      </c>
      <c r="H316" s="40">
        <v>2.333333333333333</v>
      </c>
      <c r="J316" s="26"/>
      <c r="L316" s="6">
        <v>0</v>
      </c>
      <c r="M316" s="6">
        <v>0</v>
      </c>
      <c r="N316" s="6">
        <v>0</v>
      </c>
      <c r="P316" s="15" t="s">
        <v>76</v>
      </c>
      <c r="Q316" s="7">
        <v>0</v>
      </c>
    </row>
    <row r="317" spans="2:17" x14ac:dyDescent="0.25">
      <c r="B317" t="s">
        <v>421</v>
      </c>
      <c r="C317" s="29" t="s">
        <v>52</v>
      </c>
      <c r="D317" s="35" t="s">
        <v>59</v>
      </c>
      <c r="F317">
        <v>250</v>
      </c>
      <c r="G317">
        <v>500</v>
      </c>
      <c r="H317" s="40">
        <v>1</v>
      </c>
      <c r="J317" s="26"/>
      <c r="L317" s="6">
        <v>0</v>
      </c>
      <c r="M317" s="6">
        <v>0</v>
      </c>
      <c r="N317" s="6">
        <v>0</v>
      </c>
      <c r="P317" s="15" t="s">
        <v>76</v>
      </c>
      <c r="Q317" s="7">
        <v>0</v>
      </c>
    </row>
    <row r="318" spans="2:17" x14ac:dyDescent="0.25">
      <c r="B318" t="s">
        <v>422</v>
      </c>
      <c r="C318" s="29" t="s">
        <v>52</v>
      </c>
      <c r="D318" s="35" t="s">
        <v>59</v>
      </c>
      <c r="F318">
        <v>1300</v>
      </c>
      <c r="G318">
        <v>2500</v>
      </c>
      <c r="H318" s="40">
        <v>0.92307692307692313</v>
      </c>
      <c r="J318" s="26">
        <v>2000</v>
      </c>
      <c r="L318" s="6">
        <v>0</v>
      </c>
      <c r="M318" s="6">
        <v>0</v>
      </c>
      <c r="N318" s="6">
        <v>0</v>
      </c>
      <c r="P318" s="15" t="s">
        <v>76</v>
      </c>
      <c r="Q318" s="7">
        <v>0</v>
      </c>
    </row>
    <row r="319" spans="2:17" x14ac:dyDescent="0.25">
      <c r="B319" t="s">
        <v>423</v>
      </c>
      <c r="C319" s="29" t="s">
        <v>52</v>
      </c>
      <c r="D319" s="35" t="s">
        <v>59</v>
      </c>
      <c r="F319">
        <v>250</v>
      </c>
      <c r="G319">
        <v>500</v>
      </c>
      <c r="H319" s="40">
        <v>1</v>
      </c>
      <c r="J319" s="26">
        <v>500</v>
      </c>
      <c r="L319" s="6">
        <v>0</v>
      </c>
      <c r="M319" s="6">
        <v>0</v>
      </c>
      <c r="N319" s="6">
        <v>0</v>
      </c>
      <c r="P319" s="15" t="s">
        <v>76</v>
      </c>
      <c r="Q319" s="7">
        <v>0</v>
      </c>
    </row>
    <row r="320" spans="2:17" x14ac:dyDescent="0.25">
      <c r="B320" t="s">
        <v>424</v>
      </c>
      <c r="C320" s="29" t="s">
        <v>52</v>
      </c>
      <c r="D320" s="35" t="s">
        <v>59</v>
      </c>
      <c r="F320">
        <v>450</v>
      </c>
      <c r="G320">
        <v>1000</v>
      </c>
      <c r="H320" s="40">
        <v>1.2222222222222221</v>
      </c>
      <c r="J320" s="26">
        <v>900</v>
      </c>
      <c r="L320" s="6">
        <v>0</v>
      </c>
      <c r="M320" s="6">
        <v>0</v>
      </c>
      <c r="N320" s="6">
        <v>0</v>
      </c>
      <c r="P320" s="15" t="s">
        <v>76</v>
      </c>
      <c r="Q320" s="7">
        <v>0</v>
      </c>
    </row>
    <row r="321" spans="2:17" x14ac:dyDescent="0.25">
      <c r="B321" t="s">
        <v>425</v>
      </c>
      <c r="C321" s="29" t="s">
        <v>52</v>
      </c>
      <c r="D321" s="35" t="s">
        <v>59</v>
      </c>
      <c r="F321">
        <v>350</v>
      </c>
      <c r="G321">
        <v>700</v>
      </c>
      <c r="H321" s="40">
        <v>1</v>
      </c>
      <c r="J321" s="26">
        <v>500</v>
      </c>
      <c r="L321" s="6">
        <v>0</v>
      </c>
      <c r="M321" s="6">
        <v>0</v>
      </c>
      <c r="N321" s="6">
        <v>0</v>
      </c>
      <c r="P321" s="15" t="s">
        <v>76</v>
      </c>
      <c r="Q321" s="7">
        <v>0</v>
      </c>
    </row>
    <row r="322" spans="2:17" x14ac:dyDescent="0.25">
      <c r="B322" t="s">
        <v>426</v>
      </c>
      <c r="C322" s="29" t="s">
        <v>52</v>
      </c>
      <c r="D322" s="35" t="s">
        <v>59</v>
      </c>
      <c r="F322">
        <v>400</v>
      </c>
      <c r="G322">
        <v>1000</v>
      </c>
      <c r="H322" s="40">
        <v>1.5</v>
      </c>
      <c r="J322" s="26">
        <v>800</v>
      </c>
      <c r="L322" s="6">
        <v>0</v>
      </c>
      <c r="M322" s="6">
        <v>0</v>
      </c>
      <c r="N322" s="6">
        <v>0</v>
      </c>
      <c r="P322" s="15" t="s">
        <v>76</v>
      </c>
      <c r="Q322" s="7">
        <v>0</v>
      </c>
    </row>
    <row r="323" spans="2:17" x14ac:dyDescent="0.25">
      <c r="B323" t="s">
        <v>427</v>
      </c>
      <c r="C323" s="29" t="s">
        <v>52</v>
      </c>
      <c r="D323" s="35" t="s">
        <v>59</v>
      </c>
      <c r="F323">
        <v>350</v>
      </c>
      <c r="G323">
        <v>1000</v>
      </c>
      <c r="H323" s="40">
        <v>1.857142857142857</v>
      </c>
      <c r="J323" s="26">
        <v>800</v>
      </c>
      <c r="L323" s="6">
        <v>0</v>
      </c>
      <c r="M323" s="6">
        <v>0</v>
      </c>
      <c r="N323" s="6">
        <v>0</v>
      </c>
      <c r="P323" s="15" t="s">
        <v>76</v>
      </c>
      <c r="Q323" s="7">
        <v>0</v>
      </c>
    </row>
    <row r="324" spans="2:17" x14ac:dyDescent="0.25">
      <c r="B324" t="s">
        <v>427</v>
      </c>
      <c r="C324" s="29" t="s">
        <v>52</v>
      </c>
      <c r="D324" s="35" t="s">
        <v>59</v>
      </c>
      <c r="F324">
        <v>350</v>
      </c>
      <c r="G324">
        <v>1000</v>
      </c>
      <c r="H324" s="40">
        <v>1.857142857142857</v>
      </c>
      <c r="J324" s="26">
        <v>800</v>
      </c>
      <c r="L324" s="6">
        <v>0</v>
      </c>
      <c r="M324" s="6">
        <v>0</v>
      </c>
      <c r="N324" s="6">
        <v>0</v>
      </c>
      <c r="P324" s="15" t="s">
        <v>76</v>
      </c>
      <c r="Q324" s="7">
        <v>0</v>
      </c>
    </row>
    <row r="325" spans="2:17" x14ac:dyDescent="0.25">
      <c r="B325" t="s">
        <v>428</v>
      </c>
      <c r="C325" s="29" t="s">
        <v>52</v>
      </c>
      <c r="D325" s="35" t="s">
        <v>59</v>
      </c>
      <c r="F325">
        <v>600</v>
      </c>
      <c r="G325">
        <v>1000</v>
      </c>
      <c r="H325" s="40">
        <v>0.66666666666666663</v>
      </c>
      <c r="J325" s="26">
        <v>950</v>
      </c>
      <c r="L325" s="6">
        <v>0</v>
      </c>
      <c r="M325" s="6">
        <v>0</v>
      </c>
      <c r="N325" s="6">
        <v>0</v>
      </c>
      <c r="P325" s="15" t="s">
        <v>76</v>
      </c>
      <c r="Q325" s="7">
        <v>0</v>
      </c>
    </row>
    <row r="326" spans="2:17" x14ac:dyDescent="0.25">
      <c r="B326" t="s">
        <v>429</v>
      </c>
      <c r="C326" s="29" t="s">
        <v>52</v>
      </c>
      <c r="D326" s="35" t="s">
        <v>59</v>
      </c>
      <c r="F326">
        <v>1000</v>
      </c>
      <c r="G326">
        <v>2000</v>
      </c>
      <c r="H326" s="40">
        <v>1</v>
      </c>
      <c r="J326" s="26">
        <v>1500</v>
      </c>
      <c r="L326" s="6">
        <v>0</v>
      </c>
      <c r="M326" s="6">
        <v>0</v>
      </c>
      <c r="N326" s="6">
        <v>0</v>
      </c>
      <c r="P326" s="15" t="s">
        <v>76</v>
      </c>
      <c r="Q326" s="7">
        <v>0</v>
      </c>
    </row>
    <row r="327" spans="2:17" x14ac:dyDescent="0.25">
      <c r="B327" t="s">
        <v>430</v>
      </c>
      <c r="C327" s="29" t="s">
        <v>52</v>
      </c>
      <c r="D327" s="35" t="s">
        <v>59</v>
      </c>
      <c r="F327">
        <v>1100</v>
      </c>
      <c r="G327">
        <v>2000</v>
      </c>
      <c r="H327" s="40">
        <v>0.81818181818181823</v>
      </c>
      <c r="J327" s="26">
        <v>1500</v>
      </c>
      <c r="L327" s="6">
        <v>0</v>
      </c>
      <c r="M327" s="6">
        <v>0</v>
      </c>
      <c r="N327" s="6">
        <v>0</v>
      </c>
      <c r="P327" s="15" t="s">
        <v>76</v>
      </c>
      <c r="Q327" s="7">
        <v>0</v>
      </c>
    </row>
    <row r="328" spans="2:17" x14ac:dyDescent="0.25">
      <c r="B328" t="s">
        <v>431</v>
      </c>
      <c r="C328" s="29" t="s">
        <v>52</v>
      </c>
      <c r="D328" s="35" t="s">
        <v>59</v>
      </c>
      <c r="F328">
        <v>300</v>
      </c>
      <c r="G328">
        <v>500</v>
      </c>
      <c r="H328" s="40">
        <v>0.66666666666666663</v>
      </c>
      <c r="J328" s="26">
        <v>500</v>
      </c>
      <c r="L328" s="6">
        <v>0</v>
      </c>
      <c r="M328" s="6">
        <v>0</v>
      </c>
      <c r="N328" s="6">
        <v>0</v>
      </c>
      <c r="P328" s="15" t="s">
        <v>76</v>
      </c>
      <c r="Q328" s="7">
        <v>0</v>
      </c>
    </row>
    <row r="329" spans="2:17" x14ac:dyDescent="0.25">
      <c r="B329" t="s">
        <v>432</v>
      </c>
      <c r="C329" s="29" t="s">
        <v>52</v>
      </c>
      <c r="D329" s="35" t="s">
        <v>59</v>
      </c>
      <c r="F329">
        <v>1200</v>
      </c>
      <c r="G329">
        <v>2000</v>
      </c>
      <c r="H329" s="40">
        <v>0.66666666666666663</v>
      </c>
      <c r="J329" s="26">
        <v>1800</v>
      </c>
      <c r="L329" s="6">
        <v>0</v>
      </c>
      <c r="M329" s="6">
        <v>0</v>
      </c>
      <c r="N329" s="6">
        <v>0</v>
      </c>
      <c r="P329" s="15" t="s">
        <v>76</v>
      </c>
      <c r="Q329" s="7">
        <v>0</v>
      </c>
    </row>
    <row r="330" spans="2:17" x14ac:dyDescent="0.25">
      <c r="B330" t="s">
        <v>433</v>
      </c>
      <c r="C330" s="29" t="s">
        <v>52</v>
      </c>
      <c r="D330" s="35" t="s">
        <v>59</v>
      </c>
      <c r="F330">
        <v>200</v>
      </c>
      <c r="G330">
        <v>500</v>
      </c>
      <c r="H330" s="40">
        <v>1.5</v>
      </c>
      <c r="J330" s="26">
        <v>400</v>
      </c>
      <c r="L330" s="6">
        <v>0</v>
      </c>
      <c r="M330" s="6">
        <v>0</v>
      </c>
      <c r="N330" s="6">
        <v>0</v>
      </c>
      <c r="P330" s="15" t="s">
        <v>76</v>
      </c>
      <c r="Q330" s="7">
        <v>0</v>
      </c>
    </row>
    <row r="331" spans="2:17" x14ac:dyDescent="0.25">
      <c r="B331" t="s">
        <v>434</v>
      </c>
      <c r="C331" s="29" t="s">
        <v>52</v>
      </c>
      <c r="D331" s="35" t="s">
        <v>59</v>
      </c>
      <c r="F331">
        <v>200</v>
      </c>
      <c r="G331">
        <v>500</v>
      </c>
      <c r="H331" s="40">
        <v>1.5</v>
      </c>
      <c r="J331" s="26">
        <v>400</v>
      </c>
      <c r="L331" s="6">
        <v>0</v>
      </c>
      <c r="M331" s="6">
        <v>0</v>
      </c>
      <c r="N331" s="6">
        <v>0</v>
      </c>
      <c r="P331" s="15" t="s">
        <v>76</v>
      </c>
      <c r="Q331" s="7">
        <v>0</v>
      </c>
    </row>
    <row r="332" spans="2:17" x14ac:dyDescent="0.25">
      <c r="B332" t="s">
        <v>435</v>
      </c>
      <c r="C332" s="29" t="s">
        <v>52</v>
      </c>
      <c r="D332" s="35" t="s">
        <v>59</v>
      </c>
      <c r="F332">
        <v>100</v>
      </c>
      <c r="G332">
        <v>300</v>
      </c>
      <c r="H332" s="40">
        <v>2</v>
      </c>
      <c r="J332" s="26">
        <v>200</v>
      </c>
      <c r="L332" s="6">
        <v>0</v>
      </c>
      <c r="M332" s="6">
        <v>0</v>
      </c>
      <c r="N332" s="6">
        <v>0</v>
      </c>
      <c r="P332" s="15" t="s">
        <v>76</v>
      </c>
      <c r="Q332" s="7">
        <v>0</v>
      </c>
    </row>
    <row r="333" spans="2:17" x14ac:dyDescent="0.25">
      <c r="B333" t="s">
        <v>436</v>
      </c>
      <c r="C333" s="29" t="s">
        <v>52</v>
      </c>
      <c r="D333" s="35" t="s">
        <v>59</v>
      </c>
      <c r="F333">
        <v>400</v>
      </c>
      <c r="G333">
        <v>1000</v>
      </c>
      <c r="H333" s="40">
        <v>1.5</v>
      </c>
      <c r="J333" s="26">
        <v>800</v>
      </c>
      <c r="L333" s="6">
        <v>0</v>
      </c>
      <c r="M333" s="6">
        <v>0</v>
      </c>
      <c r="N333" s="6">
        <v>0</v>
      </c>
      <c r="P333" s="15" t="s">
        <v>76</v>
      </c>
      <c r="Q333" s="7">
        <v>0</v>
      </c>
    </row>
    <row r="334" spans="2:17" x14ac:dyDescent="0.25">
      <c r="B334" t="s">
        <v>437</v>
      </c>
      <c r="C334" t="s">
        <v>380</v>
      </c>
      <c r="D334" t="s">
        <v>59</v>
      </c>
      <c r="F334" s="33">
        <v>650</v>
      </c>
      <c r="G334">
        <v>2000</v>
      </c>
      <c r="H334" s="40">
        <v>2.0769230769230771</v>
      </c>
      <c r="J334" s="26">
        <v>1500</v>
      </c>
      <c r="L334" s="6">
        <v>0</v>
      </c>
      <c r="M334" s="6">
        <v>0</v>
      </c>
      <c r="N334" s="6">
        <v>0</v>
      </c>
      <c r="P334" s="15" t="s">
        <v>76</v>
      </c>
      <c r="Q334" s="7">
        <v>0</v>
      </c>
    </row>
    <row r="335" spans="2:17" x14ac:dyDescent="0.25">
      <c r="B335" t="s">
        <v>438</v>
      </c>
      <c r="C335" t="s">
        <v>380</v>
      </c>
      <c r="D335" t="s">
        <v>59</v>
      </c>
      <c r="F335" s="33">
        <v>650</v>
      </c>
      <c r="G335">
        <v>2500</v>
      </c>
      <c r="H335" s="40">
        <v>2.8461538461538458</v>
      </c>
      <c r="J335" s="26">
        <v>2000</v>
      </c>
      <c r="L335" s="6">
        <v>0</v>
      </c>
      <c r="M335" s="6">
        <v>0</v>
      </c>
      <c r="N335" s="6">
        <v>0</v>
      </c>
      <c r="P335" s="15" t="s">
        <v>76</v>
      </c>
      <c r="Q335" s="7">
        <v>0</v>
      </c>
    </row>
    <row r="336" spans="2:17" x14ac:dyDescent="0.25">
      <c r="B336" t="s">
        <v>439</v>
      </c>
      <c r="C336" t="s">
        <v>380</v>
      </c>
      <c r="D336" t="s">
        <v>59</v>
      </c>
      <c r="F336" s="33">
        <v>1500</v>
      </c>
      <c r="G336">
        <v>3500</v>
      </c>
      <c r="H336" s="40">
        <v>1.333333333333333</v>
      </c>
      <c r="J336" s="26">
        <v>3000</v>
      </c>
      <c r="L336" s="6">
        <v>0</v>
      </c>
      <c r="M336" s="6">
        <v>0</v>
      </c>
      <c r="N336" s="6">
        <v>0</v>
      </c>
      <c r="P336" s="15" t="s">
        <v>76</v>
      </c>
      <c r="Q336" s="7">
        <v>0</v>
      </c>
    </row>
    <row r="337" spans="1:17" x14ac:dyDescent="0.25">
      <c r="B337" t="s">
        <v>440</v>
      </c>
      <c r="C337" t="s">
        <v>380</v>
      </c>
      <c r="D337" t="s">
        <v>59</v>
      </c>
      <c r="F337" s="33">
        <v>2500</v>
      </c>
      <c r="G337">
        <v>5000</v>
      </c>
      <c r="H337" s="40">
        <v>1</v>
      </c>
      <c r="J337" s="26">
        <v>4500</v>
      </c>
      <c r="L337" s="6">
        <v>0</v>
      </c>
      <c r="M337" s="6">
        <v>0</v>
      </c>
      <c r="N337" s="6">
        <v>0</v>
      </c>
      <c r="P337" s="15" t="s">
        <v>76</v>
      </c>
      <c r="Q337" s="7">
        <v>0</v>
      </c>
    </row>
    <row r="338" spans="1:17" x14ac:dyDescent="0.25">
      <c r="B338" t="s">
        <v>441</v>
      </c>
      <c r="C338" t="s">
        <v>380</v>
      </c>
      <c r="D338" t="s">
        <v>442</v>
      </c>
      <c r="F338" s="33">
        <v>700</v>
      </c>
      <c r="G338">
        <v>1000</v>
      </c>
      <c r="H338" s="40">
        <v>0.42857142857142849</v>
      </c>
      <c r="J338" s="26">
        <v>1000</v>
      </c>
      <c r="L338" s="6">
        <v>0</v>
      </c>
      <c r="M338" s="6">
        <v>0</v>
      </c>
      <c r="N338" s="6">
        <v>0</v>
      </c>
      <c r="P338" s="15" t="s">
        <v>76</v>
      </c>
      <c r="Q338" s="7">
        <v>0</v>
      </c>
    </row>
    <row r="339" spans="1:17" x14ac:dyDescent="0.25">
      <c r="B339" t="s">
        <v>443</v>
      </c>
      <c r="C339" t="s">
        <v>380</v>
      </c>
      <c r="D339" t="s">
        <v>59</v>
      </c>
      <c r="F339" s="33">
        <v>1300</v>
      </c>
      <c r="G339">
        <v>3500</v>
      </c>
      <c r="H339" s="40">
        <v>1.6923076923076921</v>
      </c>
      <c r="J339" s="26">
        <v>2500</v>
      </c>
      <c r="L339" s="6">
        <v>0</v>
      </c>
      <c r="M339" s="6">
        <v>0</v>
      </c>
      <c r="N339" s="6">
        <v>0</v>
      </c>
      <c r="P339" s="15" t="s">
        <v>76</v>
      </c>
      <c r="Q339" s="7">
        <v>0</v>
      </c>
    </row>
    <row r="340" spans="1:17" x14ac:dyDescent="0.25">
      <c r="B340" t="s">
        <v>444</v>
      </c>
      <c r="C340" t="s">
        <v>380</v>
      </c>
      <c r="D340" t="s">
        <v>59</v>
      </c>
      <c r="F340" s="33">
        <v>2000</v>
      </c>
      <c r="G340">
        <v>5000</v>
      </c>
      <c r="H340" s="40">
        <v>1.5</v>
      </c>
      <c r="J340" s="26">
        <v>3500</v>
      </c>
      <c r="L340" s="6">
        <v>0</v>
      </c>
      <c r="M340" s="6">
        <v>0</v>
      </c>
      <c r="N340" s="6">
        <v>0</v>
      </c>
      <c r="P340" s="15" t="s">
        <v>76</v>
      </c>
      <c r="Q340" s="7">
        <v>0</v>
      </c>
    </row>
    <row r="341" spans="1:17" x14ac:dyDescent="0.25">
      <c r="B341" t="s">
        <v>445</v>
      </c>
      <c r="C341" t="s">
        <v>380</v>
      </c>
      <c r="D341" t="s">
        <v>59</v>
      </c>
      <c r="F341" s="33">
        <v>3500</v>
      </c>
      <c r="G341">
        <v>7000</v>
      </c>
      <c r="H341" s="40">
        <v>1</v>
      </c>
      <c r="J341" s="26">
        <v>6000</v>
      </c>
      <c r="L341" s="6">
        <v>0</v>
      </c>
      <c r="M341" s="6">
        <v>0</v>
      </c>
      <c r="N341" s="6">
        <v>0</v>
      </c>
      <c r="P341" s="15" t="s">
        <v>76</v>
      </c>
      <c r="Q341" s="7">
        <v>0</v>
      </c>
    </row>
    <row r="342" spans="1:17" x14ac:dyDescent="0.25">
      <c r="B342" t="s">
        <v>446</v>
      </c>
      <c r="C342" t="s">
        <v>380</v>
      </c>
      <c r="D342" t="s">
        <v>59</v>
      </c>
      <c r="F342" s="33">
        <v>2500</v>
      </c>
      <c r="G342">
        <v>7000</v>
      </c>
      <c r="H342" s="40">
        <v>1.8</v>
      </c>
      <c r="J342" s="26">
        <v>5000</v>
      </c>
      <c r="L342" s="6">
        <v>0</v>
      </c>
      <c r="M342" s="6">
        <v>0</v>
      </c>
      <c r="N342" s="6">
        <v>0</v>
      </c>
      <c r="P342" s="15" t="s">
        <v>76</v>
      </c>
      <c r="Q342" s="7">
        <v>0</v>
      </c>
    </row>
    <row r="343" spans="1:17" x14ac:dyDescent="0.25">
      <c r="B343" t="s">
        <v>447</v>
      </c>
      <c r="C343" t="s">
        <v>380</v>
      </c>
      <c r="D343" t="s">
        <v>59</v>
      </c>
      <c r="F343" s="33">
        <v>1800</v>
      </c>
      <c r="G343">
        <v>3500</v>
      </c>
      <c r="H343" s="40">
        <v>0.94444444444444442</v>
      </c>
      <c r="J343" s="26">
        <v>3000</v>
      </c>
      <c r="L343" s="6">
        <v>0</v>
      </c>
      <c r="M343" s="6">
        <v>0</v>
      </c>
      <c r="N343" s="6">
        <v>0</v>
      </c>
      <c r="P343" s="15" t="s">
        <v>76</v>
      </c>
      <c r="Q343" s="7">
        <v>0</v>
      </c>
    </row>
    <row r="344" spans="1:17" x14ac:dyDescent="0.25">
      <c r="B344" t="s">
        <v>448</v>
      </c>
      <c r="C344" t="s">
        <v>380</v>
      </c>
      <c r="D344" t="s">
        <v>59</v>
      </c>
      <c r="F344" s="33">
        <v>2000</v>
      </c>
      <c r="G344">
        <v>4000</v>
      </c>
      <c r="H344" s="40">
        <v>1</v>
      </c>
      <c r="J344" s="26">
        <v>3500</v>
      </c>
      <c r="L344" s="6">
        <v>0</v>
      </c>
      <c r="M344" s="6">
        <v>0</v>
      </c>
      <c r="N344" s="6">
        <v>0</v>
      </c>
      <c r="P344" s="15" t="s">
        <v>76</v>
      </c>
      <c r="Q344" s="7">
        <v>0</v>
      </c>
    </row>
    <row r="345" spans="1:17" x14ac:dyDescent="0.25">
      <c r="B345" t="s">
        <v>449</v>
      </c>
      <c r="C345" t="s">
        <v>380</v>
      </c>
      <c r="D345" t="s">
        <v>59</v>
      </c>
      <c r="F345" s="33">
        <v>1200</v>
      </c>
      <c r="G345" s="33">
        <v>2500</v>
      </c>
      <c r="H345" s="40">
        <v>1.083333333333333</v>
      </c>
      <c r="J345" s="26">
        <v>2000</v>
      </c>
      <c r="L345" s="6">
        <v>0</v>
      </c>
      <c r="M345" s="6">
        <v>0</v>
      </c>
      <c r="N345" s="6">
        <v>0</v>
      </c>
      <c r="P345" s="15" t="s">
        <v>76</v>
      </c>
      <c r="Q345" s="7">
        <v>0</v>
      </c>
    </row>
    <row r="346" spans="1:17" x14ac:dyDescent="0.25">
      <c r="B346" t="s">
        <v>450</v>
      </c>
      <c r="C346" t="s">
        <v>380</v>
      </c>
      <c r="D346" t="s">
        <v>59</v>
      </c>
      <c r="F346" s="33">
        <v>1500</v>
      </c>
      <c r="G346" s="33">
        <v>3000</v>
      </c>
      <c r="H346" s="40">
        <v>1</v>
      </c>
      <c r="J346" s="26">
        <v>2500</v>
      </c>
      <c r="L346" s="6">
        <v>0</v>
      </c>
      <c r="M346" s="6">
        <v>0</v>
      </c>
      <c r="N346" s="6">
        <v>0</v>
      </c>
      <c r="P346" s="15" t="s">
        <v>76</v>
      </c>
      <c r="Q346" s="7">
        <v>0</v>
      </c>
    </row>
    <row r="347" spans="1:17" ht="15.95" customHeight="1" thickBot="1" x14ac:dyDescent="0.3">
      <c r="B347" t="s">
        <v>451</v>
      </c>
      <c r="C347" t="s">
        <v>380</v>
      </c>
      <c r="D347" t="s">
        <v>59</v>
      </c>
      <c r="F347" s="33">
        <v>3000</v>
      </c>
      <c r="G347">
        <v>5000</v>
      </c>
      <c r="H347" s="40">
        <v>0.66666666666666663</v>
      </c>
      <c r="J347" s="26">
        <v>4500</v>
      </c>
      <c r="L347" s="6">
        <v>0</v>
      </c>
      <c r="M347" s="6">
        <v>0</v>
      </c>
      <c r="N347" s="6">
        <v>0</v>
      </c>
      <c r="P347" s="15" t="s">
        <v>76</v>
      </c>
      <c r="Q347" s="7">
        <v>0</v>
      </c>
    </row>
    <row r="348" spans="1:17" ht="15.95" customHeight="1" thickBot="1" x14ac:dyDescent="0.3">
      <c r="A348" s="19" t="s">
        <v>158</v>
      </c>
      <c r="B348" t="s">
        <v>452</v>
      </c>
      <c r="C348" t="s">
        <v>380</v>
      </c>
      <c r="D348" t="s">
        <v>59</v>
      </c>
      <c r="F348" s="33">
        <v>900</v>
      </c>
      <c r="G348">
        <v>1500</v>
      </c>
      <c r="H348" s="40">
        <v>0.66666666666666663</v>
      </c>
      <c r="J348" s="26">
        <v>1500</v>
      </c>
      <c r="L348" s="6">
        <v>0</v>
      </c>
      <c r="M348" s="6">
        <v>0</v>
      </c>
      <c r="N348" s="6">
        <v>0</v>
      </c>
      <c r="P348" s="15" t="s">
        <v>76</v>
      </c>
      <c r="Q348" s="7">
        <v>0</v>
      </c>
    </row>
    <row r="349" spans="1:17" ht="15.95" customHeight="1" thickTop="1" x14ac:dyDescent="0.25">
      <c r="B349" t="s">
        <v>453</v>
      </c>
      <c r="C349" t="s">
        <v>380</v>
      </c>
      <c r="D349" t="s">
        <v>59</v>
      </c>
      <c r="F349" s="33">
        <v>1700</v>
      </c>
      <c r="G349">
        <v>2500</v>
      </c>
      <c r="H349" s="40">
        <v>0.47058823529411759</v>
      </c>
      <c r="J349" s="26">
        <v>2500</v>
      </c>
      <c r="L349" s="6">
        <v>0</v>
      </c>
      <c r="M349" s="6">
        <v>0</v>
      </c>
      <c r="N349" s="6">
        <v>0</v>
      </c>
      <c r="P349" s="15" t="s">
        <v>76</v>
      </c>
      <c r="Q349" s="7">
        <v>0</v>
      </c>
    </row>
    <row r="350" spans="1:17" x14ac:dyDescent="0.25">
      <c r="B350" t="s">
        <v>454</v>
      </c>
      <c r="C350" t="s">
        <v>380</v>
      </c>
      <c r="D350" t="s">
        <v>59</v>
      </c>
      <c r="F350" s="33">
        <v>3000</v>
      </c>
      <c r="G350">
        <v>3500</v>
      </c>
      <c r="H350" s="16">
        <v>1.142857142857143</v>
      </c>
      <c r="J350" s="26">
        <v>3500</v>
      </c>
      <c r="L350" s="6">
        <v>0</v>
      </c>
      <c r="M350" s="6">
        <v>0</v>
      </c>
      <c r="N350" s="6">
        <v>0</v>
      </c>
      <c r="P350" s="15" t="s">
        <v>76</v>
      </c>
      <c r="Q350" s="7">
        <v>0</v>
      </c>
    </row>
    <row r="351" spans="1:17" x14ac:dyDescent="0.25">
      <c r="B351" t="s">
        <v>455</v>
      </c>
      <c r="C351" t="s">
        <v>380</v>
      </c>
      <c r="D351" t="s">
        <v>59</v>
      </c>
      <c r="F351" s="33">
        <v>50</v>
      </c>
      <c r="G351">
        <v>200</v>
      </c>
      <c r="H351" s="16">
        <v>1.6470588235294119</v>
      </c>
      <c r="J351" s="26">
        <v>150</v>
      </c>
      <c r="L351" s="6">
        <v>0</v>
      </c>
      <c r="M351" s="6">
        <v>0</v>
      </c>
      <c r="N351" s="6">
        <v>0</v>
      </c>
      <c r="P351" s="15" t="s">
        <v>76</v>
      </c>
      <c r="Q351" s="7">
        <v>0</v>
      </c>
    </row>
    <row r="352" spans="1:17" x14ac:dyDescent="0.25">
      <c r="B352" t="s">
        <v>456</v>
      </c>
      <c r="C352" t="s">
        <v>380</v>
      </c>
      <c r="D352" t="s">
        <v>59</v>
      </c>
      <c r="F352" s="33">
        <v>80</v>
      </c>
      <c r="G352">
        <v>200</v>
      </c>
      <c r="H352" s="16">
        <v>1</v>
      </c>
      <c r="J352" s="26">
        <v>150</v>
      </c>
      <c r="L352" s="6">
        <v>0</v>
      </c>
      <c r="M352" s="6">
        <v>0</v>
      </c>
      <c r="N352" s="6">
        <v>0</v>
      </c>
      <c r="P352" s="15" t="s">
        <v>76</v>
      </c>
      <c r="Q352" s="7">
        <v>0</v>
      </c>
    </row>
    <row r="353" spans="1:17" x14ac:dyDescent="0.25">
      <c r="B353" s="24" t="s">
        <v>457</v>
      </c>
      <c r="C353" t="s">
        <v>380</v>
      </c>
      <c r="D353" t="s">
        <v>59</v>
      </c>
      <c r="F353" s="31">
        <v>50</v>
      </c>
      <c r="G353">
        <v>200</v>
      </c>
      <c r="H353" s="16">
        <v>3</v>
      </c>
      <c r="J353" s="26">
        <v>150</v>
      </c>
      <c r="L353" s="6">
        <v>0</v>
      </c>
      <c r="M353" s="6">
        <v>0</v>
      </c>
      <c r="N353" s="6">
        <v>0</v>
      </c>
      <c r="P353" s="15" t="s">
        <v>76</v>
      </c>
      <c r="Q353" s="7">
        <v>0</v>
      </c>
    </row>
    <row r="354" spans="1:17" x14ac:dyDescent="0.25">
      <c r="B354" s="24" t="s">
        <v>458</v>
      </c>
      <c r="C354" t="s">
        <v>380</v>
      </c>
      <c r="D354" t="s">
        <v>59</v>
      </c>
      <c r="F354" s="31">
        <v>80</v>
      </c>
      <c r="G354">
        <v>200</v>
      </c>
      <c r="H354" s="16">
        <v>1.5</v>
      </c>
      <c r="J354" s="26">
        <v>150</v>
      </c>
      <c r="L354" s="6">
        <v>0</v>
      </c>
      <c r="M354" s="6">
        <v>0</v>
      </c>
      <c r="N354" s="6">
        <v>0</v>
      </c>
      <c r="P354" s="15" t="s">
        <v>76</v>
      </c>
      <c r="Q354" s="7">
        <v>0</v>
      </c>
    </row>
    <row r="355" spans="1:17" x14ac:dyDescent="0.25">
      <c r="B355" s="24" t="s">
        <v>459</v>
      </c>
      <c r="C355" t="s">
        <v>380</v>
      </c>
      <c r="D355" t="s">
        <v>59</v>
      </c>
      <c r="F355" s="31">
        <v>50</v>
      </c>
      <c r="G355" s="33">
        <v>200</v>
      </c>
      <c r="H355" s="16">
        <v>3</v>
      </c>
      <c r="J355" s="26">
        <v>150</v>
      </c>
      <c r="L355" s="6">
        <v>0</v>
      </c>
      <c r="M355" s="6">
        <v>0</v>
      </c>
      <c r="N355" s="6">
        <v>0</v>
      </c>
      <c r="P355" s="15" t="s">
        <v>76</v>
      </c>
      <c r="Q355" s="7">
        <v>0</v>
      </c>
    </row>
    <row r="356" spans="1:17" x14ac:dyDescent="0.25">
      <c r="B356" s="24" t="s">
        <v>460</v>
      </c>
      <c r="C356" t="s">
        <v>380</v>
      </c>
      <c r="D356" t="s">
        <v>59</v>
      </c>
      <c r="F356" s="31">
        <v>200</v>
      </c>
      <c r="G356" s="33">
        <v>500</v>
      </c>
      <c r="H356" s="16">
        <v>1.5</v>
      </c>
      <c r="J356" s="26">
        <v>450</v>
      </c>
      <c r="L356" s="6">
        <v>0</v>
      </c>
      <c r="M356" s="6">
        <v>0</v>
      </c>
      <c r="N356" s="6">
        <v>0</v>
      </c>
      <c r="P356" s="15" t="s">
        <v>76</v>
      </c>
      <c r="Q356" s="7">
        <v>0</v>
      </c>
    </row>
    <row r="357" spans="1:17" x14ac:dyDescent="0.25">
      <c r="B357" s="37" t="s">
        <v>461</v>
      </c>
      <c r="C357" t="s">
        <v>380</v>
      </c>
      <c r="D357" t="s">
        <v>59</v>
      </c>
      <c r="F357">
        <v>275</v>
      </c>
      <c r="G357">
        <v>500</v>
      </c>
      <c r="H357" s="16">
        <v>0.81818181818181823</v>
      </c>
      <c r="J357" s="26">
        <v>450</v>
      </c>
      <c r="L357" s="6">
        <v>0</v>
      </c>
      <c r="M357" s="6">
        <v>0</v>
      </c>
      <c r="N357" s="6">
        <v>0</v>
      </c>
      <c r="P357" s="15" t="s">
        <v>76</v>
      </c>
      <c r="Q357" s="7">
        <v>0</v>
      </c>
    </row>
    <row r="358" spans="1:17" x14ac:dyDescent="0.25">
      <c r="B358" s="37" t="s">
        <v>462</v>
      </c>
      <c r="C358" t="s">
        <v>380</v>
      </c>
      <c r="D358" t="s">
        <v>59</v>
      </c>
      <c r="F358">
        <v>400</v>
      </c>
      <c r="G358">
        <v>1000</v>
      </c>
      <c r="H358" s="16">
        <v>1.5</v>
      </c>
      <c r="J358" s="26">
        <v>900</v>
      </c>
      <c r="L358" s="6">
        <v>0</v>
      </c>
      <c r="M358" s="6">
        <v>0</v>
      </c>
      <c r="N358" s="6">
        <v>0</v>
      </c>
      <c r="P358" s="15" t="s">
        <v>76</v>
      </c>
      <c r="Q358" s="7">
        <v>0</v>
      </c>
    </row>
    <row r="359" spans="1:17" x14ac:dyDescent="0.25">
      <c r="B359" s="37" t="s">
        <v>463</v>
      </c>
      <c r="C359" t="s">
        <v>380</v>
      </c>
      <c r="D359" t="s">
        <v>59</v>
      </c>
      <c r="F359">
        <v>500</v>
      </c>
      <c r="G359">
        <v>1000</v>
      </c>
      <c r="H359" s="16">
        <v>1</v>
      </c>
      <c r="J359" s="26">
        <v>900</v>
      </c>
      <c r="L359" s="6">
        <v>0</v>
      </c>
      <c r="M359" s="6">
        <v>0</v>
      </c>
      <c r="N359" s="6">
        <v>0</v>
      </c>
      <c r="P359" s="15" t="s">
        <v>76</v>
      </c>
      <c r="Q359" s="7">
        <v>0</v>
      </c>
    </row>
    <row r="360" spans="1:17" x14ac:dyDescent="0.25">
      <c r="B360" s="37" t="s">
        <v>464</v>
      </c>
      <c r="C360" t="s">
        <v>380</v>
      </c>
      <c r="D360" t="s">
        <v>59</v>
      </c>
      <c r="F360">
        <v>240</v>
      </c>
      <c r="G360">
        <v>500</v>
      </c>
      <c r="H360" s="16">
        <v>1.083333333333333</v>
      </c>
      <c r="J360" s="26">
        <v>500</v>
      </c>
      <c r="L360" s="6">
        <v>0</v>
      </c>
      <c r="M360" s="6">
        <v>0</v>
      </c>
      <c r="N360" s="6">
        <v>0</v>
      </c>
      <c r="P360" s="15" t="s">
        <v>76</v>
      </c>
      <c r="Q360" s="7">
        <v>0</v>
      </c>
    </row>
    <row r="361" spans="1:17" x14ac:dyDescent="0.25">
      <c r="B361" s="37" t="s">
        <v>465</v>
      </c>
      <c r="C361" t="s">
        <v>380</v>
      </c>
      <c r="D361" t="s">
        <v>59</v>
      </c>
      <c r="F361">
        <v>240</v>
      </c>
      <c r="G361">
        <v>500</v>
      </c>
      <c r="H361" s="16">
        <v>1.083333333333333</v>
      </c>
      <c r="J361" s="26">
        <v>500</v>
      </c>
      <c r="L361" s="6">
        <v>0</v>
      </c>
      <c r="M361" s="6">
        <v>0</v>
      </c>
      <c r="N361" s="6">
        <v>0</v>
      </c>
      <c r="P361" s="15" t="s">
        <v>76</v>
      </c>
      <c r="Q361" s="7">
        <v>0</v>
      </c>
    </row>
    <row r="362" spans="1:17" x14ac:dyDescent="0.25">
      <c r="A362" t="s">
        <v>107</v>
      </c>
      <c r="B362" s="37" t="s">
        <v>466</v>
      </c>
      <c r="C362" s="8" t="s">
        <v>53</v>
      </c>
      <c r="D362" t="s">
        <v>59</v>
      </c>
      <c r="F362" s="33">
        <v>500</v>
      </c>
      <c r="G362">
        <v>1000</v>
      </c>
      <c r="H362" s="16">
        <v>1</v>
      </c>
      <c r="J362" s="26">
        <v>1000</v>
      </c>
      <c r="L362" s="6">
        <v>0</v>
      </c>
      <c r="M362" s="6">
        <v>0</v>
      </c>
      <c r="N362" s="6">
        <v>0</v>
      </c>
      <c r="P362" s="15" t="s">
        <v>76</v>
      </c>
      <c r="Q362" s="7">
        <v>0</v>
      </c>
    </row>
    <row r="363" spans="1:17" x14ac:dyDescent="0.25">
      <c r="B363" s="37" t="s">
        <v>467</v>
      </c>
      <c r="F363">
        <v>240</v>
      </c>
      <c r="G363">
        <v>500</v>
      </c>
      <c r="H363" s="16">
        <v>1.083333333333333</v>
      </c>
      <c r="J363" s="26">
        <v>500</v>
      </c>
      <c r="L363" s="6">
        <v>0</v>
      </c>
      <c r="M363" s="6">
        <v>0</v>
      </c>
      <c r="N363" s="6">
        <v>0</v>
      </c>
      <c r="P363" s="15" t="s">
        <v>76</v>
      </c>
      <c r="Q363" s="7">
        <v>0</v>
      </c>
    </row>
    <row r="364" spans="1:17" x14ac:dyDescent="0.25">
      <c r="B364" s="37" t="s">
        <v>468</v>
      </c>
      <c r="F364">
        <v>250</v>
      </c>
      <c r="G364">
        <v>500</v>
      </c>
      <c r="H364" s="16">
        <v>1</v>
      </c>
      <c r="J364" s="26">
        <v>500</v>
      </c>
      <c r="L364" s="6">
        <v>0</v>
      </c>
      <c r="M364" s="6">
        <v>0</v>
      </c>
      <c r="N364" s="6">
        <v>0</v>
      </c>
      <c r="P364" s="15" t="s">
        <v>76</v>
      </c>
      <c r="Q364" s="7">
        <v>0</v>
      </c>
    </row>
    <row r="365" spans="1:17" x14ac:dyDescent="0.25">
      <c r="B365" s="37" t="s">
        <v>469</v>
      </c>
      <c r="F365">
        <v>250</v>
      </c>
      <c r="G365">
        <v>500</v>
      </c>
      <c r="H365" s="16">
        <v>1</v>
      </c>
      <c r="J365" s="26">
        <v>500</v>
      </c>
      <c r="L365" s="6">
        <v>0</v>
      </c>
      <c r="M365" s="6">
        <v>0</v>
      </c>
      <c r="N365" s="6">
        <v>0</v>
      </c>
      <c r="P365" s="15" t="s">
        <v>76</v>
      </c>
      <c r="Q365" s="7">
        <v>0</v>
      </c>
    </row>
    <row r="366" spans="1:17" x14ac:dyDescent="0.25">
      <c r="A366" t="s">
        <v>470</v>
      </c>
      <c r="B366" s="37" t="s">
        <v>471</v>
      </c>
      <c r="C366" s="5" t="s">
        <v>54</v>
      </c>
      <c r="D366" t="s">
        <v>59</v>
      </c>
      <c r="F366">
        <v>1400</v>
      </c>
      <c r="G366">
        <v>2000</v>
      </c>
      <c r="H366" s="16">
        <v>0.42857142857142849</v>
      </c>
      <c r="I366">
        <v>8</v>
      </c>
      <c r="J366" s="26">
        <v>1800</v>
      </c>
      <c r="L366" s="6">
        <v>0</v>
      </c>
      <c r="M366" s="6">
        <v>0</v>
      </c>
      <c r="N366" s="6">
        <v>8</v>
      </c>
      <c r="P366" s="15" t="s">
        <v>81</v>
      </c>
      <c r="Q366" s="7">
        <v>11200</v>
      </c>
    </row>
    <row r="367" spans="1:17" x14ac:dyDescent="0.25">
      <c r="B367" s="37" t="s">
        <v>472</v>
      </c>
      <c r="C367" s="5" t="s">
        <v>54</v>
      </c>
      <c r="D367" t="s">
        <v>59</v>
      </c>
      <c r="F367">
        <v>1400</v>
      </c>
      <c r="G367">
        <v>2000</v>
      </c>
      <c r="H367" s="16">
        <v>0.42857142857142849</v>
      </c>
      <c r="I367">
        <v>9</v>
      </c>
      <c r="J367" s="26">
        <v>1800</v>
      </c>
      <c r="L367" s="6"/>
      <c r="M367" s="6"/>
      <c r="N367" s="6">
        <v>9</v>
      </c>
      <c r="P367" s="15"/>
      <c r="Q367" s="7">
        <v>12600</v>
      </c>
    </row>
    <row r="368" spans="1:17" x14ac:dyDescent="0.25">
      <c r="B368" s="37" t="s">
        <v>473</v>
      </c>
      <c r="C368" s="5" t="s">
        <v>54</v>
      </c>
      <c r="D368" t="s">
        <v>59</v>
      </c>
      <c r="F368">
        <v>1400</v>
      </c>
      <c r="G368">
        <v>2000</v>
      </c>
      <c r="H368" s="16">
        <v>0.42857142857142849</v>
      </c>
      <c r="I368">
        <v>2</v>
      </c>
      <c r="J368" s="26">
        <v>1800</v>
      </c>
      <c r="L368" s="6"/>
      <c r="M368" s="6"/>
      <c r="N368" s="6">
        <v>2</v>
      </c>
      <c r="P368" s="15"/>
      <c r="Q368" s="7">
        <v>2800</v>
      </c>
    </row>
    <row r="369" spans="1:17" x14ac:dyDescent="0.25">
      <c r="B369" s="37" t="s">
        <v>474</v>
      </c>
      <c r="F369">
        <v>200</v>
      </c>
      <c r="G369">
        <v>500</v>
      </c>
      <c r="H369" s="16">
        <v>1.5</v>
      </c>
      <c r="J369" s="26">
        <v>400</v>
      </c>
      <c r="L369" s="6">
        <v>0</v>
      </c>
      <c r="M369" s="6">
        <v>0</v>
      </c>
      <c r="N369" s="6">
        <v>0</v>
      </c>
      <c r="P369" s="15" t="s">
        <v>76</v>
      </c>
      <c r="Q369" s="7">
        <v>0</v>
      </c>
    </row>
    <row r="370" spans="1:17" x14ac:dyDescent="0.25">
      <c r="B370" s="41" t="s">
        <v>475</v>
      </c>
      <c r="F370">
        <v>350</v>
      </c>
      <c r="G370">
        <v>1000</v>
      </c>
      <c r="H370" s="16">
        <v>1.857142857142857</v>
      </c>
      <c r="J370" s="26">
        <v>800</v>
      </c>
      <c r="L370" s="6">
        <v>0</v>
      </c>
      <c r="M370" s="6">
        <v>0</v>
      </c>
      <c r="N370" s="6">
        <v>0</v>
      </c>
      <c r="P370" s="15" t="s">
        <v>76</v>
      </c>
      <c r="Q370" s="7">
        <v>0</v>
      </c>
    </row>
    <row r="371" spans="1:17" x14ac:dyDescent="0.25">
      <c r="B371" s="37" t="s">
        <v>476</v>
      </c>
      <c r="F371">
        <v>1100</v>
      </c>
      <c r="G371">
        <v>2500</v>
      </c>
      <c r="H371" s="16">
        <v>1.2727272727272729</v>
      </c>
      <c r="J371" s="26">
        <v>2000</v>
      </c>
      <c r="L371" s="6">
        <v>0</v>
      </c>
      <c r="M371" s="6">
        <v>0</v>
      </c>
      <c r="N371" s="6">
        <v>0</v>
      </c>
      <c r="P371" s="15" t="s">
        <v>76</v>
      </c>
      <c r="Q371" s="7">
        <v>0</v>
      </c>
    </row>
    <row r="372" spans="1:17" x14ac:dyDescent="0.25">
      <c r="B372" s="37" t="s">
        <v>477</v>
      </c>
      <c r="F372">
        <v>1450</v>
      </c>
      <c r="G372">
        <v>3000</v>
      </c>
      <c r="H372" s="16">
        <v>1.068965517241379</v>
      </c>
      <c r="J372" s="26">
        <v>2500</v>
      </c>
      <c r="L372" s="6">
        <v>0</v>
      </c>
      <c r="M372" s="6">
        <v>0</v>
      </c>
      <c r="N372" s="6">
        <v>0</v>
      </c>
      <c r="P372" s="15" t="s">
        <v>76</v>
      </c>
      <c r="Q372" s="7">
        <v>0</v>
      </c>
    </row>
    <row r="373" spans="1:17" x14ac:dyDescent="0.25">
      <c r="A373" t="s">
        <v>102</v>
      </c>
      <c r="B373" s="37" t="s">
        <v>478</v>
      </c>
      <c r="F373">
        <v>2400</v>
      </c>
      <c r="G373">
        <v>4000</v>
      </c>
      <c r="H373" s="16">
        <v>0.66666666666666663</v>
      </c>
      <c r="J373" s="26">
        <v>3500</v>
      </c>
      <c r="L373" s="6">
        <v>0</v>
      </c>
      <c r="M373" s="6">
        <v>0</v>
      </c>
      <c r="N373" s="6">
        <v>0</v>
      </c>
      <c r="P373" s="15" t="s">
        <v>76</v>
      </c>
      <c r="Q373" s="7">
        <v>0</v>
      </c>
    </row>
    <row r="374" spans="1:17" x14ac:dyDescent="0.25">
      <c r="B374" s="37" t="s">
        <v>479</v>
      </c>
      <c r="F374">
        <v>1000</v>
      </c>
      <c r="G374">
        <v>2500</v>
      </c>
      <c r="H374" s="16">
        <v>1.5</v>
      </c>
      <c r="J374" s="26">
        <v>2000</v>
      </c>
      <c r="L374" s="6">
        <v>0</v>
      </c>
      <c r="M374" s="6">
        <v>0</v>
      </c>
      <c r="N374" s="6">
        <v>0</v>
      </c>
      <c r="P374" s="15" t="s">
        <v>76</v>
      </c>
      <c r="Q374" s="7">
        <v>0</v>
      </c>
    </row>
    <row r="375" spans="1:17" x14ac:dyDescent="0.25">
      <c r="B375" s="37" t="s">
        <v>480</v>
      </c>
      <c r="F375">
        <v>1300</v>
      </c>
      <c r="G375">
        <v>3000</v>
      </c>
      <c r="H375" s="16">
        <v>1.3076923076923079</v>
      </c>
      <c r="J375" s="26">
        <v>2500</v>
      </c>
      <c r="L375" s="6">
        <v>0</v>
      </c>
      <c r="M375" s="6">
        <v>0</v>
      </c>
      <c r="N375" s="6">
        <v>0</v>
      </c>
      <c r="P375" s="15" t="s">
        <v>76</v>
      </c>
      <c r="Q375" s="7">
        <v>0</v>
      </c>
    </row>
    <row r="376" spans="1:17" x14ac:dyDescent="0.25">
      <c r="B376" s="37" t="s">
        <v>481</v>
      </c>
      <c r="F376">
        <v>1400</v>
      </c>
      <c r="G376">
        <v>3000</v>
      </c>
      <c r="H376" s="30">
        <v>1.142857142857143</v>
      </c>
      <c r="J376" s="26">
        <v>2500</v>
      </c>
      <c r="L376" s="6">
        <v>0</v>
      </c>
      <c r="M376" s="6">
        <v>0</v>
      </c>
      <c r="N376" s="6">
        <v>0</v>
      </c>
      <c r="P376" s="15" t="s">
        <v>76</v>
      </c>
      <c r="Q376" s="7">
        <v>0</v>
      </c>
    </row>
    <row r="377" spans="1:17" s="42" customFormat="1" x14ac:dyDescent="0.25">
      <c r="A377"/>
      <c r="B377" s="43" t="s">
        <v>482</v>
      </c>
      <c r="C377"/>
      <c r="D377"/>
      <c r="E377"/>
      <c r="F377" s="42">
        <v>1100</v>
      </c>
      <c r="G377" s="42">
        <v>2500</v>
      </c>
      <c r="H377" s="44">
        <v>1.2727272727272729</v>
      </c>
      <c r="I377"/>
      <c r="J377" s="45">
        <v>2000</v>
      </c>
      <c r="K377"/>
      <c r="L377" s="6">
        <v>0</v>
      </c>
      <c r="M377" s="6">
        <v>0</v>
      </c>
      <c r="N377" s="6">
        <v>0</v>
      </c>
      <c r="O377"/>
      <c r="P377" s="15" t="s">
        <v>76</v>
      </c>
      <c r="Q377" s="7">
        <v>0</v>
      </c>
    </row>
    <row r="378" spans="1:17" x14ac:dyDescent="0.25">
      <c r="A378" t="s">
        <v>117</v>
      </c>
      <c r="B378" s="37" t="s">
        <v>483</v>
      </c>
      <c r="F378">
        <v>1900</v>
      </c>
      <c r="H378" s="46">
        <v>-1</v>
      </c>
      <c r="J378" s="26"/>
      <c r="L378" s="6">
        <v>0</v>
      </c>
      <c r="M378" s="6">
        <v>0</v>
      </c>
      <c r="N378" s="6">
        <v>0</v>
      </c>
      <c r="P378" s="15" t="s">
        <v>76</v>
      </c>
      <c r="Q378" s="7">
        <v>0</v>
      </c>
    </row>
    <row r="379" spans="1:17" x14ac:dyDescent="0.25">
      <c r="B379" s="37" t="s">
        <v>484</v>
      </c>
      <c r="F379">
        <v>2400</v>
      </c>
      <c r="H379" s="46">
        <v>-1</v>
      </c>
      <c r="J379" s="26"/>
      <c r="L379" s="6">
        <v>0</v>
      </c>
      <c r="M379" s="6">
        <v>0</v>
      </c>
      <c r="N379" s="6">
        <v>0</v>
      </c>
      <c r="P379" s="15" t="s">
        <v>76</v>
      </c>
      <c r="Q379" s="7">
        <v>0</v>
      </c>
    </row>
    <row r="380" spans="1:17" x14ac:dyDescent="0.25">
      <c r="B380" s="37" t="s">
        <v>485</v>
      </c>
      <c r="F380">
        <v>3500</v>
      </c>
      <c r="H380" s="46">
        <v>-1</v>
      </c>
      <c r="J380" s="26"/>
      <c r="L380" s="6">
        <v>0</v>
      </c>
      <c r="M380" s="6">
        <v>0</v>
      </c>
      <c r="N380" s="6">
        <v>0</v>
      </c>
      <c r="P380" s="15" t="s">
        <v>76</v>
      </c>
      <c r="Q380" s="7">
        <v>0</v>
      </c>
    </row>
    <row r="381" spans="1:17" x14ac:dyDescent="0.25">
      <c r="B381" s="37" t="s">
        <v>486</v>
      </c>
      <c r="F381">
        <v>400</v>
      </c>
      <c r="H381" s="46">
        <v>-1</v>
      </c>
      <c r="J381" s="26"/>
      <c r="L381" s="6">
        <v>0</v>
      </c>
      <c r="M381" s="6">
        <v>0</v>
      </c>
      <c r="N381" s="6">
        <v>0</v>
      </c>
      <c r="P381" s="15" t="s">
        <v>76</v>
      </c>
      <c r="Q381" s="7">
        <v>0</v>
      </c>
    </row>
    <row r="382" spans="1:17" x14ac:dyDescent="0.25">
      <c r="A382" t="s">
        <v>107</v>
      </c>
      <c r="B382" s="37" t="s">
        <v>487</v>
      </c>
      <c r="C382" s="8" t="s">
        <v>53</v>
      </c>
      <c r="F382" s="33">
        <v>1400</v>
      </c>
      <c r="G382" s="33">
        <v>2500</v>
      </c>
      <c r="H382" s="46">
        <v>0.7857142857142857</v>
      </c>
      <c r="J382" s="26">
        <v>2000</v>
      </c>
      <c r="L382" s="6">
        <v>0</v>
      </c>
      <c r="M382" s="6">
        <v>0</v>
      </c>
      <c r="N382" s="6">
        <v>0</v>
      </c>
      <c r="P382" s="15" t="s">
        <v>76</v>
      </c>
      <c r="Q382" s="7">
        <v>0</v>
      </c>
    </row>
    <row r="383" spans="1:17" x14ac:dyDescent="0.25">
      <c r="A383" t="s">
        <v>107</v>
      </c>
      <c r="B383" s="37" t="s">
        <v>488</v>
      </c>
      <c r="C383" s="8" t="s">
        <v>53</v>
      </c>
      <c r="F383" s="33">
        <v>1000</v>
      </c>
      <c r="G383" s="33">
        <v>2000</v>
      </c>
      <c r="H383" s="46">
        <v>1</v>
      </c>
      <c r="J383" s="26">
        <v>1500</v>
      </c>
      <c r="L383" s="6">
        <v>0</v>
      </c>
      <c r="M383" s="6">
        <v>0</v>
      </c>
      <c r="N383" s="6">
        <v>0</v>
      </c>
      <c r="P383" s="15" t="s">
        <v>76</v>
      </c>
      <c r="Q383" s="7">
        <v>0</v>
      </c>
    </row>
    <row r="384" spans="1:17" x14ac:dyDescent="0.25">
      <c r="A384" t="s">
        <v>341</v>
      </c>
      <c r="B384" s="37" t="s">
        <v>339</v>
      </c>
      <c r="C384" s="8" t="s">
        <v>53</v>
      </c>
      <c r="F384" s="33">
        <v>1000</v>
      </c>
      <c r="G384" s="33">
        <v>2000</v>
      </c>
      <c r="H384" s="46">
        <v>1</v>
      </c>
      <c r="J384" s="26">
        <v>1500</v>
      </c>
      <c r="L384" s="6">
        <v>0</v>
      </c>
      <c r="M384" s="6">
        <v>0</v>
      </c>
      <c r="N384" s="6">
        <v>0</v>
      </c>
      <c r="P384" s="15" t="s">
        <v>76</v>
      </c>
      <c r="Q384" s="7">
        <v>0</v>
      </c>
    </row>
    <row r="385" spans="1:17" x14ac:dyDescent="0.25">
      <c r="A385" t="s">
        <v>341</v>
      </c>
      <c r="B385" s="37" t="s">
        <v>338</v>
      </c>
      <c r="C385" s="8" t="s">
        <v>53</v>
      </c>
      <c r="F385" s="33">
        <v>1200</v>
      </c>
      <c r="G385" s="33">
        <v>2500</v>
      </c>
      <c r="H385" s="46">
        <v>1.083333333333333</v>
      </c>
      <c r="J385" s="26">
        <v>2000</v>
      </c>
      <c r="L385" s="6">
        <v>0</v>
      </c>
      <c r="M385" s="6">
        <v>0</v>
      </c>
      <c r="N385" s="6">
        <v>0</v>
      </c>
      <c r="P385" s="15" t="s">
        <v>76</v>
      </c>
      <c r="Q385" s="7">
        <v>0</v>
      </c>
    </row>
    <row r="386" spans="1:17" x14ac:dyDescent="0.25">
      <c r="A386" t="s">
        <v>341</v>
      </c>
      <c r="B386" s="37" t="s">
        <v>489</v>
      </c>
      <c r="C386" s="8" t="s">
        <v>53</v>
      </c>
      <c r="F386" s="33">
        <v>1000</v>
      </c>
      <c r="G386" s="33">
        <v>2000</v>
      </c>
      <c r="H386" s="46">
        <v>1</v>
      </c>
      <c r="J386" s="26">
        <v>1500</v>
      </c>
      <c r="L386" s="6">
        <v>0</v>
      </c>
      <c r="M386" s="6">
        <v>0</v>
      </c>
      <c r="N386" s="6">
        <v>0</v>
      </c>
      <c r="P386" s="15" t="s">
        <v>76</v>
      </c>
      <c r="Q386" s="7">
        <v>0</v>
      </c>
    </row>
    <row r="387" spans="1:17" x14ac:dyDescent="0.25">
      <c r="A387" t="s">
        <v>341</v>
      </c>
      <c r="B387" s="37" t="s">
        <v>490</v>
      </c>
      <c r="C387" s="8" t="s">
        <v>53</v>
      </c>
      <c r="F387" s="33">
        <v>1400</v>
      </c>
      <c r="G387" s="33">
        <v>2500</v>
      </c>
      <c r="H387" s="46">
        <v>0.7857142857142857</v>
      </c>
      <c r="J387" s="26">
        <v>2000</v>
      </c>
      <c r="L387" s="6">
        <v>0</v>
      </c>
      <c r="M387" s="6">
        <v>0</v>
      </c>
      <c r="N387" s="6">
        <v>0</v>
      </c>
      <c r="P387" s="15" t="s">
        <v>76</v>
      </c>
      <c r="Q387" s="7">
        <v>0</v>
      </c>
    </row>
    <row r="388" spans="1:17" x14ac:dyDescent="0.25">
      <c r="A388" t="s">
        <v>107</v>
      </c>
      <c r="B388" s="37" t="s">
        <v>491</v>
      </c>
      <c r="C388" s="8" t="s">
        <v>53</v>
      </c>
      <c r="F388" s="33">
        <v>1000</v>
      </c>
      <c r="G388" s="33">
        <v>2000</v>
      </c>
      <c r="H388" s="46">
        <v>1</v>
      </c>
      <c r="J388" s="26">
        <v>1500</v>
      </c>
      <c r="L388" s="6">
        <v>0</v>
      </c>
      <c r="M388" s="6">
        <v>0</v>
      </c>
      <c r="N388" s="6">
        <v>0</v>
      </c>
      <c r="P388" s="15" t="s">
        <v>76</v>
      </c>
      <c r="Q388" s="7">
        <v>0</v>
      </c>
    </row>
    <row r="389" spans="1:17" x14ac:dyDescent="0.25">
      <c r="A389" t="s">
        <v>107</v>
      </c>
      <c r="B389" s="37" t="s">
        <v>492</v>
      </c>
      <c r="C389" s="8" t="s">
        <v>53</v>
      </c>
      <c r="F389" s="33">
        <v>1200</v>
      </c>
      <c r="G389" s="33">
        <v>2500</v>
      </c>
      <c r="H389" s="46">
        <v>1.083333333333333</v>
      </c>
      <c r="J389" s="26">
        <v>2000</v>
      </c>
      <c r="L389" s="6">
        <v>0</v>
      </c>
      <c r="M389" s="6">
        <v>0</v>
      </c>
      <c r="N389" s="6">
        <v>0</v>
      </c>
      <c r="P389" s="15" t="s">
        <v>76</v>
      </c>
      <c r="Q389" s="7">
        <v>0</v>
      </c>
    </row>
    <row r="390" spans="1:17" x14ac:dyDescent="0.25">
      <c r="A390" t="s">
        <v>107</v>
      </c>
      <c r="B390" s="37" t="s">
        <v>493</v>
      </c>
      <c r="C390" s="8" t="s">
        <v>53</v>
      </c>
      <c r="F390" s="33">
        <v>1000</v>
      </c>
      <c r="G390" s="33">
        <v>2000</v>
      </c>
      <c r="H390" s="46">
        <v>1</v>
      </c>
      <c r="J390" s="26">
        <v>1500</v>
      </c>
      <c r="L390" s="6">
        <v>0</v>
      </c>
      <c r="M390" s="6">
        <v>0</v>
      </c>
      <c r="N390" s="6">
        <v>0</v>
      </c>
      <c r="P390" s="15" t="s">
        <v>76</v>
      </c>
      <c r="Q390" s="7">
        <v>0</v>
      </c>
    </row>
    <row r="391" spans="1:17" x14ac:dyDescent="0.25">
      <c r="A391" t="s">
        <v>107</v>
      </c>
      <c r="B391" s="37" t="s">
        <v>494</v>
      </c>
      <c r="C391" s="8" t="s">
        <v>53</v>
      </c>
      <c r="F391" s="33">
        <v>500</v>
      </c>
      <c r="G391" s="33">
        <v>1000</v>
      </c>
      <c r="H391" s="46">
        <v>1</v>
      </c>
      <c r="J391" s="26">
        <v>1000</v>
      </c>
      <c r="L391" s="6">
        <v>0</v>
      </c>
      <c r="M391" s="6">
        <v>0</v>
      </c>
      <c r="N391" s="6">
        <v>0</v>
      </c>
      <c r="P391" s="15" t="s">
        <v>76</v>
      </c>
      <c r="Q391" s="7">
        <v>0</v>
      </c>
    </row>
    <row r="392" spans="1:17" x14ac:dyDescent="0.25">
      <c r="A392" t="s">
        <v>107</v>
      </c>
      <c r="B392" s="37" t="s">
        <v>495</v>
      </c>
      <c r="C392" s="8" t="s">
        <v>53</v>
      </c>
      <c r="F392" s="33">
        <v>500</v>
      </c>
      <c r="G392" s="33">
        <v>1000</v>
      </c>
      <c r="H392" s="46">
        <v>1</v>
      </c>
      <c r="J392" s="26">
        <v>1000</v>
      </c>
      <c r="L392" s="6">
        <v>0</v>
      </c>
      <c r="M392" s="6">
        <v>0</v>
      </c>
      <c r="N392" s="6">
        <v>0</v>
      </c>
      <c r="P392" s="15" t="s">
        <v>76</v>
      </c>
      <c r="Q392" s="7">
        <v>0</v>
      </c>
    </row>
    <row r="393" spans="1:17" x14ac:dyDescent="0.25">
      <c r="A393" t="s">
        <v>107</v>
      </c>
      <c r="B393" s="37" t="s">
        <v>363</v>
      </c>
      <c r="C393" s="8" t="s">
        <v>53</v>
      </c>
      <c r="F393" s="33">
        <v>500</v>
      </c>
      <c r="G393" s="33">
        <v>1000</v>
      </c>
      <c r="H393" s="46">
        <v>1</v>
      </c>
      <c r="J393" s="26">
        <v>1000</v>
      </c>
      <c r="L393" s="6">
        <v>0</v>
      </c>
      <c r="M393" s="6">
        <v>0</v>
      </c>
      <c r="N393" s="6">
        <v>0</v>
      </c>
      <c r="P393" s="15" t="s">
        <v>76</v>
      </c>
      <c r="Q393" s="7">
        <v>0</v>
      </c>
    </row>
    <row r="394" spans="1:17" x14ac:dyDescent="0.25">
      <c r="A394" t="s">
        <v>107</v>
      </c>
      <c r="B394" s="37" t="s">
        <v>496</v>
      </c>
      <c r="C394" s="8" t="s">
        <v>53</v>
      </c>
      <c r="F394" s="33">
        <v>1500</v>
      </c>
      <c r="G394" s="33">
        <v>3000</v>
      </c>
      <c r="H394" s="46">
        <v>1</v>
      </c>
      <c r="J394" s="26">
        <v>2500</v>
      </c>
      <c r="L394" s="6">
        <v>0</v>
      </c>
      <c r="M394" s="6">
        <v>0</v>
      </c>
      <c r="N394" s="6">
        <v>0</v>
      </c>
      <c r="P394" s="15" t="s">
        <v>76</v>
      </c>
      <c r="Q394" s="7">
        <v>0</v>
      </c>
    </row>
    <row r="395" spans="1:17" x14ac:dyDescent="0.25">
      <c r="A395" t="s">
        <v>107</v>
      </c>
      <c r="B395" s="37" t="s">
        <v>497</v>
      </c>
      <c r="C395" s="8" t="s">
        <v>53</v>
      </c>
      <c r="F395" s="33">
        <v>550</v>
      </c>
      <c r="G395" s="33">
        <v>1500</v>
      </c>
      <c r="H395" s="46">
        <v>1.7272727272727271</v>
      </c>
      <c r="J395" s="26">
        <v>1000</v>
      </c>
      <c r="L395" s="6">
        <v>0</v>
      </c>
      <c r="M395" s="6">
        <v>0</v>
      </c>
      <c r="N395" s="6">
        <v>0</v>
      </c>
      <c r="P395" s="15" t="s">
        <v>76</v>
      </c>
      <c r="Q395" s="7">
        <v>0</v>
      </c>
    </row>
    <row r="396" spans="1:17" x14ac:dyDescent="0.25">
      <c r="A396" t="s">
        <v>107</v>
      </c>
      <c r="B396" s="37" t="s">
        <v>498</v>
      </c>
      <c r="C396" s="8" t="s">
        <v>53</v>
      </c>
      <c r="F396" s="33">
        <v>350</v>
      </c>
      <c r="G396" s="33">
        <v>1000</v>
      </c>
      <c r="H396" s="46">
        <v>1.857142857142857</v>
      </c>
      <c r="J396" s="26">
        <v>800</v>
      </c>
      <c r="L396" s="6">
        <v>0</v>
      </c>
      <c r="M396" s="6">
        <v>0</v>
      </c>
      <c r="N396" s="6">
        <v>0</v>
      </c>
      <c r="P396" s="15" t="s">
        <v>76</v>
      </c>
      <c r="Q396" s="7">
        <v>0</v>
      </c>
    </row>
    <row r="397" spans="1:17" x14ac:dyDescent="0.25">
      <c r="A397" t="s">
        <v>107</v>
      </c>
      <c r="B397" s="37" t="s">
        <v>499</v>
      </c>
      <c r="C397" s="8" t="s">
        <v>53</v>
      </c>
      <c r="F397" s="33">
        <v>800</v>
      </c>
      <c r="G397" s="33">
        <v>2000</v>
      </c>
      <c r="H397" s="46">
        <v>1.5</v>
      </c>
      <c r="J397" s="26">
        <v>1500</v>
      </c>
      <c r="L397" s="6">
        <v>0</v>
      </c>
      <c r="M397" s="6">
        <v>0</v>
      </c>
      <c r="N397" s="6">
        <v>0</v>
      </c>
      <c r="P397" s="15" t="s">
        <v>76</v>
      </c>
      <c r="Q397" s="7">
        <v>0</v>
      </c>
    </row>
    <row r="398" spans="1:17" x14ac:dyDescent="0.25">
      <c r="A398" t="s">
        <v>107</v>
      </c>
      <c r="B398" s="37" t="s">
        <v>500</v>
      </c>
      <c r="C398" s="8" t="s">
        <v>53</v>
      </c>
      <c r="F398" s="33">
        <v>1750</v>
      </c>
      <c r="G398" s="33">
        <v>3000</v>
      </c>
      <c r="H398" s="46">
        <v>0.7142857142857143</v>
      </c>
      <c r="J398" s="26">
        <v>2500</v>
      </c>
      <c r="L398" s="6">
        <v>0</v>
      </c>
      <c r="M398" s="6">
        <v>0</v>
      </c>
      <c r="N398" s="6">
        <v>0</v>
      </c>
      <c r="P398" s="15" t="s">
        <v>76</v>
      </c>
      <c r="Q398" s="7">
        <v>0</v>
      </c>
    </row>
    <row r="399" spans="1:17" x14ac:dyDescent="0.25">
      <c r="A399" t="s">
        <v>107</v>
      </c>
      <c r="B399" s="37" t="s">
        <v>501</v>
      </c>
      <c r="C399" s="8" t="s">
        <v>53</v>
      </c>
      <c r="F399" s="33">
        <v>1750</v>
      </c>
      <c r="G399" s="33">
        <v>3000</v>
      </c>
      <c r="H399" s="46">
        <v>0.7142857142857143</v>
      </c>
      <c r="J399" s="26">
        <v>2500</v>
      </c>
      <c r="L399" s="6">
        <v>0</v>
      </c>
      <c r="M399" s="6">
        <v>0</v>
      </c>
      <c r="N399" s="6">
        <v>0</v>
      </c>
      <c r="P399" s="15" t="s">
        <v>76</v>
      </c>
      <c r="Q399" s="7">
        <v>0</v>
      </c>
    </row>
    <row r="400" spans="1:17" x14ac:dyDescent="0.25">
      <c r="A400" t="s">
        <v>107</v>
      </c>
      <c r="B400" s="37" t="s">
        <v>502</v>
      </c>
      <c r="C400" s="8" t="s">
        <v>53</v>
      </c>
      <c r="F400" s="33">
        <v>2400</v>
      </c>
      <c r="G400" s="33">
        <v>4500</v>
      </c>
      <c r="H400" s="46">
        <v>0.875</v>
      </c>
      <c r="J400" s="26">
        <v>3500</v>
      </c>
      <c r="L400" s="6">
        <v>0</v>
      </c>
      <c r="M400" s="6">
        <v>0</v>
      </c>
      <c r="N400" s="6">
        <v>0</v>
      </c>
      <c r="P400" s="15" t="s">
        <v>76</v>
      </c>
      <c r="Q400" s="7">
        <v>0</v>
      </c>
    </row>
    <row r="401" spans="1:17" x14ac:dyDescent="0.25">
      <c r="A401" t="s">
        <v>107</v>
      </c>
      <c r="B401" s="37" t="s">
        <v>503</v>
      </c>
      <c r="C401" s="8" t="s">
        <v>53</v>
      </c>
      <c r="F401" s="33">
        <v>450</v>
      </c>
      <c r="G401" s="33">
        <v>1000</v>
      </c>
      <c r="H401" s="46">
        <v>1.2222222222222221</v>
      </c>
      <c r="J401" s="26">
        <v>900</v>
      </c>
      <c r="L401" s="6">
        <v>0</v>
      </c>
      <c r="M401" s="6">
        <v>0</v>
      </c>
      <c r="N401" s="6">
        <v>0</v>
      </c>
      <c r="P401" s="15" t="s">
        <v>76</v>
      </c>
      <c r="Q401" s="7">
        <v>0</v>
      </c>
    </row>
    <row r="402" spans="1:17" s="42" customFormat="1" x14ac:dyDescent="0.25">
      <c r="A402" s="42" t="s">
        <v>107</v>
      </c>
      <c r="B402" s="43" t="s">
        <v>504</v>
      </c>
      <c r="C402" s="47" t="s">
        <v>53</v>
      </c>
      <c r="D402"/>
      <c r="E402"/>
      <c r="F402" s="48">
        <v>1750</v>
      </c>
      <c r="G402" s="48"/>
      <c r="H402" s="49">
        <v>-1</v>
      </c>
      <c r="I402"/>
      <c r="J402" s="45"/>
      <c r="K402"/>
      <c r="L402" s="6">
        <v>0</v>
      </c>
      <c r="M402" s="6">
        <v>0</v>
      </c>
      <c r="N402" s="6">
        <v>0</v>
      </c>
      <c r="O402"/>
      <c r="P402" s="15" t="s">
        <v>76</v>
      </c>
      <c r="Q402" s="7">
        <v>0</v>
      </c>
    </row>
    <row r="403" spans="1:17" x14ac:dyDescent="0.25">
      <c r="A403" t="s">
        <v>505</v>
      </c>
      <c r="B403" s="37" t="s">
        <v>506</v>
      </c>
      <c r="C403" s="47" t="s">
        <v>53</v>
      </c>
      <c r="F403" s="33">
        <v>2500</v>
      </c>
      <c r="G403" s="33">
        <v>5000</v>
      </c>
      <c r="H403" s="46">
        <v>1</v>
      </c>
      <c r="J403" s="33">
        <v>3500</v>
      </c>
      <c r="L403" s="6">
        <v>0</v>
      </c>
      <c r="M403" s="6">
        <v>0</v>
      </c>
      <c r="N403" s="6">
        <v>0</v>
      </c>
      <c r="P403" s="15" t="s">
        <v>76</v>
      </c>
      <c r="Q403" s="7">
        <v>0</v>
      </c>
    </row>
    <row r="404" spans="1:17" x14ac:dyDescent="0.25">
      <c r="A404" t="s">
        <v>92</v>
      </c>
      <c r="B404" s="37" t="s">
        <v>507</v>
      </c>
      <c r="C404" s="5" t="s">
        <v>54</v>
      </c>
      <c r="F404" s="33">
        <v>500</v>
      </c>
      <c r="G404" s="33">
        <v>1000</v>
      </c>
      <c r="H404" s="46">
        <v>1</v>
      </c>
      <c r="J404" s="33"/>
      <c r="L404" s="6">
        <v>0</v>
      </c>
      <c r="M404" s="6">
        <v>0</v>
      </c>
      <c r="N404" s="6">
        <v>0</v>
      </c>
      <c r="P404" s="15" t="s">
        <v>76</v>
      </c>
      <c r="Q404" s="7">
        <v>0</v>
      </c>
    </row>
    <row r="405" spans="1:17" x14ac:dyDescent="0.25">
      <c r="B405" s="37" t="s">
        <v>383</v>
      </c>
      <c r="C405" s="5" t="s">
        <v>54</v>
      </c>
      <c r="F405" s="33">
        <v>3500</v>
      </c>
      <c r="G405" s="33">
        <v>4000</v>
      </c>
      <c r="H405" s="46">
        <v>0.14285714285714279</v>
      </c>
      <c r="J405" s="33">
        <v>4000</v>
      </c>
      <c r="L405" s="6">
        <v>0</v>
      </c>
      <c r="M405" s="6">
        <v>0</v>
      </c>
      <c r="N405" s="6">
        <v>0</v>
      </c>
      <c r="P405" s="15" t="s">
        <v>76</v>
      </c>
      <c r="Q405" s="7">
        <v>0</v>
      </c>
    </row>
    <row r="406" spans="1:17" x14ac:dyDescent="0.25">
      <c r="B406" s="37" t="s">
        <v>508</v>
      </c>
      <c r="C406" s="5" t="s">
        <v>54</v>
      </c>
      <c r="F406" s="33">
        <v>1000</v>
      </c>
      <c r="G406" s="33">
        <v>1500</v>
      </c>
      <c r="H406" s="46">
        <v>0.5</v>
      </c>
      <c r="J406" s="33">
        <v>1500</v>
      </c>
      <c r="L406" s="6">
        <v>0</v>
      </c>
      <c r="M406" s="6">
        <v>0</v>
      </c>
      <c r="N406" s="6">
        <v>0</v>
      </c>
      <c r="P406" s="15" t="s">
        <v>76</v>
      </c>
      <c r="Q406" s="7">
        <v>0</v>
      </c>
    </row>
    <row r="407" spans="1:17" x14ac:dyDescent="0.25">
      <c r="B407" s="37" t="s">
        <v>509</v>
      </c>
      <c r="C407" s="5" t="s">
        <v>54</v>
      </c>
      <c r="F407" s="33">
        <v>1000</v>
      </c>
      <c r="G407" s="33">
        <v>1500</v>
      </c>
      <c r="H407" s="46">
        <v>0.5</v>
      </c>
      <c r="J407" s="33">
        <v>1500</v>
      </c>
      <c r="L407" s="6">
        <v>0</v>
      </c>
      <c r="M407" s="6">
        <v>0</v>
      </c>
      <c r="N407" s="6">
        <v>0</v>
      </c>
      <c r="P407" s="15" t="s">
        <v>76</v>
      </c>
      <c r="Q407" s="7">
        <v>0</v>
      </c>
    </row>
    <row r="408" spans="1:17" x14ac:dyDescent="0.25">
      <c r="A408" t="s">
        <v>91</v>
      </c>
      <c r="B408" s="37" t="s">
        <v>510</v>
      </c>
      <c r="C408" s="5" t="s">
        <v>54</v>
      </c>
      <c r="F408" s="33">
        <v>800</v>
      </c>
      <c r="G408" s="33">
        <v>1000</v>
      </c>
      <c r="H408" s="46">
        <v>0.25</v>
      </c>
      <c r="J408" s="33">
        <v>1000</v>
      </c>
      <c r="L408" s="6">
        <v>0</v>
      </c>
      <c r="M408" s="6">
        <v>0</v>
      </c>
      <c r="N408" s="6">
        <v>0</v>
      </c>
      <c r="P408" s="15" t="s">
        <v>76</v>
      </c>
      <c r="Q408" s="7">
        <v>0</v>
      </c>
    </row>
    <row r="409" spans="1:17" x14ac:dyDescent="0.25">
      <c r="A409" t="s">
        <v>511</v>
      </c>
      <c r="B409" s="37" t="s">
        <v>512</v>
      </c>
      <c r="C409" s="5" t="s">
        <v>54</v>
      </c>
      <c r="F409" s="33">
        <v>1000</v>
      </c>
      <c r="G409" s="33">
        <v>1500</v>
      </c>
      <c r="H409" s="46">
        <v>0.5</v>
      </c>
      <c r="I409">
        <v>24</v>
      </c>
      <c r="J409" s="33"/>
      <c r="L409" s="6">
        <v>0</v>
      </c>
      <c r="M409" s="6">
        <v>0</v>
      </c>
      <c r="N409" s="6">
        <v>24</v>
      </c>
      <c r="P409" s="15" t="s">
        <v>81</v>
      </c>
      <c r="Q409" s="7">
        <v>24000</v>
      </c>
    </row>
    <row r="410" spans="1:17" x14ac:dyDescent="0.25">
      <c r="A410" t="s">
        <v>511</v>
      </c>
      <c r="B410" s="37" t="s">
        <v>513</v>
      </c>
      <c r="C410" s="5" t="s">
        <v>54</v>
      </c>
      <c r="D410" t="s">
        <v>514</v>
      </c>
      <c r="F410" s="33">
        <v>1300</v>
      </c>
      <c r="G410" s="33">
        <v>2000</v>
      </c>
      <c r="H410" s="46">
        <v>0.53846153846153844</v>
      </c>
      <c r="I410">
        <v>2</v>
      </c>
      <c r="J410" s="33"/>
      <c r="L410" s="6">
        <v>0</v>
      </c>
      <c r="M410" s="6">
        <v>0</v>
      </c>
      <c r="N410" s="6">
        <v>2</v>
      </c>
      <c r="P410" s="15" t="s">
        <v>81</v>
      </c>
      <c r="Q410" s="7">
        <v>2600</v>
      </c>
    </row>
    <row r="411" spans="1:17" x14ac:dyDescent="0.25">
      <c r="A411" t="s">
        <v>511</v>
      </c>
      <c r="B411" s="37" t="s">
        <v>515</v>
      </c>
      <c r="C411" t="s">
        <v>52</v>
      </c>
      <c r="D411" t="s">
        <v>514</v>
      </c>
      <c r="F411" s="33">
        <v>225</v>
      </c>
      <c r="G411" s="33">
        <v>500</v>
      </c>
      <c r="H411" s="46">
        <v>1.2222222222222221</v>
      </c>
      <c r="J411" s="33">
        <v>500</v>
      </c>
      <c r="L411" s="6">
        <v>0</v>
      </c>
      <c r="M411" s="6">
        <v>0</v>
      </c>
      <c r="N411" s="6">
        <v>0</v>
      </c>
      <c r="P411" s="15" t="s">
        <v>76</v>
      </c>
      <c r="Q411" s="7">
        <v>0</v>
      </c>
    </row>
    <row r="412" spans="1:17" x14ac:dyDescent="0.25">
      <c r="B412" s="37" t="s">
        <v>516</v>
      </c>
      <c r="F412" s="33">
        <v>1400</v>
      </c>
      <c r="G412" s="33">
        <v>2500</v>
      </c>
      <c r="H412" s="46">
        <v>0.7857142857142857</v>
      </c>
      <c r="J412" s="33">
        <v>2000</v>
      </c>
      <c r="L412" s="6">
        <v>0</v>
      </c>
      <c r="M412" s="6">
        <v>0</v>
      </c>
      <c r="N412" s="6">
        <v>0</v>
      </c>
      <c r="P412" s="15" t="s">
        <v>76</v>
      </c>
      <c r="Q412" s="7">
        <v>0</v>
      </c>
    </row>
    <row r="413" spans="1:17" x14ac:dyDescent="0.25">
      <c r="A413" t="s">
        <v>222</v>
      </c>
      <c r="B413" s="37" t="s">
        <v>517</v>
      </c>
      <c r="C413" s="38" t="s">
        <v>54</v>
      </c>
      <c r="F413" s="33">
        <v>7500</v>
      </c>
      <c r="G413" s="33"/>
      <c r="H413" s="46">
        <v>-1</v>
      </c>
      <c r="J413" s="33"/>
      <c r="L413" s="6">
        <v>0</v>
      </c>
      <c r="M413" s="6">
        <v>0</v>
      </c>
      <c r="N413" s="6">
        <v>0</v>
      </c>
      <c r="P413" s="15" t="s">
        <v>76</v>
      </c>
      <c r="Q413" s="7">
        <v>0</v>
      </c>
    </row>
    <row r="414" spans="1:17" x14ac:dyDescent="0.25">
      <c r="B414" s="37" t="s">
        <v>518</v>
      </c>
      <c r="C414" s="38" t="s">
        <v>54</v>
      </c>
      <c r="F414" s="33">
        <v>1400</v>
      </c>
      <c r="G414" s="33">
        <v>2000</v>
      </c>
      <c r="H414" s="46">
        <v>0.42857142857142849</v>
      </c>
      <c r="J414" s="33">
        <v>1800</v>
      </c>
      <c r="L414" s="6">
        <v>0</v>
      </c>
      <c r="M414" s="6">
        <v>0</v>
      </c>
      <c r="N414" s="6">
        <v>0</v>
      </c>
      <c r="P414" s="15" t="s">
        <v>76</v>
      </c>
      <c r="Q414" s="7">
        <v>0</v>
      </c>
    </row>
    <row r="415" spans="1:17" x14ac:dyDescent="0.25">
      <c r="A415" t="s">
        <v>341</v>
      </c>
      <c r="B415" s="37" t="s">
        <v>519</v>
      </c>
      <c r="F415" s="33">
        <v>1600</v>
      </c>
      <c r="G415" s="33">
        <v>3000</v>
      </c>
      <c r="H415" s="46">
        <v>0.875</v>
      </c>
      <c r="J415" s="33">
        <v>2500</v>
      </c>
      <c r="L415" s="6">
        <v>0</v>
      </c>
      <c r="M415" s="6">
        <v>0</v>
      </c>
      <c r="N415" s="6">
        <v>0</v>
      </c>
      <c r="P415" s="15" t="s">
        <v>76</v>
      </c>
      <c r="Q415" s="7">
        <v>0</v>
      </c>
    </row>
    <row r="416" spans="1:17" x14ac:dyDescent="0.25">
      <c r="A416" t="s">
        <v>341</v>
      </c>
      <c r="B416" s="37" t="s">
        <v>520</v>
      </c>
      <c r="F416" s="33">
        <v>1850</v>
      </c>
      <c r="G416" s="33">
        <v>3500</v>
      </c>
      <c r="H416" s="46">
        <v>0.89189189189189189</v>
      </c>
      <c r="J416" s="33">
        <v>3000</v>
      </c>
      <c r="L416" s="6">
        <v>0</v>
      </c>
      <c r="M416" s="6">
        <v>0</v>
      </c>
      <c r="N416" s="6">
        <v>0</v>
      </c>
      <c r="P416" s="15" t="s">
        <v>76</v>
      </c>
      <c r="Q416" s="7">
        <v>0</v>
      </c>
    </row>
    <row r="417" spans="1:17" x14ac:dyDescent="0.25">
      <c r="A417" t="s">
        <v>341</v>
      </c>
      <c r="B417" s="37" t="s">
        <v>521</v>
      </c>
      <c r="F417" s="33">
        <v>1700</v>
      </c>
      <c r="G417" s="33">
        <v>3500</v>
      </c>
      <c r="H417" s="46">
        <v>1.0588235294117649</v>
      </c>
      <c r="J417" s="33">
        <v>2500</v>
      </c>
      <c r="L417" s="6">
        <v>0</v>
      </c>
      <c r="M417" s="6">
        <v>0</v>
      </c>
      <c r="N417" s="6">
        <v>0</v>
      </c>
      <c r="P417" s="15" t="s">
        <v>76</v>
      </c>
      <c r="Q417" s="7">
        <v>0</v>
      </c>
    </row>
    <row r="418" spans="1:17" x14ac:dyDescent="0.25">
      <c r="A418" t="s">
        <v>341</v>
      </c>
      <c r="B418" s="37" t="s">
        <v>522</v>
      </c>
      <c r="F418" s="33">
        <v>1950</v>
      </c>
      <c r="G418" s="33">
        <v>3500</v>
      </c>
      <c r="H418" s="46">
        <v>0.79487179487179482</v>
      </c>
      <c r="J418" s="33">
        <v>3000</v>
      </c>
      <c r="L418" s="6">
        <v>0</v>
      </c>
      <c r="M418" s="6">
        <v>0</v>
      </c>
      <c r="N418" s="6">
        <v>0</v>
      </c>
      <c r="P418" s="15" t="s">
        <v>76</v>
      </c>
      <c r="Q418" s="7">
        <v>0</v>
      </c>
    </row>
    <row r="419" spans="1:17" x14ac:dyDescent="0.25">
      <c r="A419" t="s">
        <v>341</v>
      </c>
      <c r="B419" s="37" t="s">
        <v>523</v>
      </c>
      <c r="F419" s="33">
        <v>1440</v>
      </c>
      <c r="G419" s="33">
        <v>2500</v>
      </c>
      <c r="H419" s="46">
        <v>0.73611111111111116</v>
      </c>
      <c r="J419" s="33">
        <v>2000</v>
      </c>
      <c r="L419" s="6">
        <v>0</v>
      </c>
      <c r="M419" s="6">
        <v>0</v>
      </c>
      <c r="N419" s="6">
        <v>0</v>
      </c>
      <c r="P419" s="15" t="s">
        <v>76</v>
      </c>
      <c r="Q419" s="7">
        <v>0</v>
      </c>
    </row>
    <row r="420" spans="1:17" x14ac:dyDescent="0.25">
      <c r="A420" t="s">
        <v>341</v>
      </c>
      <c r="B420" s="37" t="s">
        <v>524</v>
      </c>
      <c r="F420" s="33">
        <v>450</v>
      </c>
      <c r="G420" s="33">
        <v>800</v>
      </c>
      <c r="H420" s="46">
        <v>0.77777777777777779</v>
      </c>
      <c r="J420" s="33">
        <v>700</v>
      </c>
      <c r="L420" s="6">
        <v>0</v>
      </c>
      <c r="M420" s="6">
        <v>0</v>
      </c>
      <c r="N420" s="6">
        <v>0</v>
      </c>
      <c r="P420" s="15" t="s">
        <v>76</v>
      </c>
      <c r="Q420" s="7">
        <v>0</v>
      </c>
    </row>
    <row r="421" spans="1:17" x14ac:dyDescent="0.25">
      <c r="A421" t="s">
        <v>525</v>
      </c>
      <c r="B421" s="37" t="s">
        <v>526</v>
      </c>
      <c r="C421" s="8" t="s">
        <v>53</v>
      </c>
      <c r="D421" s="39" t="s">
        <v>59</v>
      </c>
      <c r="F421" s="33">
        <v>3000</v>
      </c>
      <c r="G421" s="33">
        <v>5500</v>
      </c>
      <c r="H421" s="46">
        <v>0.83333333333333337</v>
      </c>
      <c r="J421" s="33">
        <v>5000</v>
      </c>
      <c r="L421" s="6">
        <v>0</v>
      </c>
      <c r="M421" s="6">
        <v>0</v>
      </c>
      <c r="N421" s="6">
        <v>0</v>
      </c>
      <c r="P421" s="15" t="s">
        <v>76</v>
      </c>
      <c r="Q421" s="7">
        <v>0</v>
      </c>
    </row>
    <row r="422" spans="1:17" x14ac:dyDescent="0.25">
      <c r="A422" t="s">
        <v>525</v>
      </c>
      <c r="B422" s="37" t="s">
        <v>527</v>
      </c>
      <c r="C422" s="8" t="s">
        <v>53</v>
      </c>
      <c r="D422" s="39" t="s">
        <v>59</v>
      </c>
      <c r="F422" s="33">
        <v>3000</v>
      </c>
      <c r="G422" s="33">
        <v>5500</v>
      </c>
      <c r="H422" s="46">
        <v>0.83333333333333337</v>
      </c>
      <c r="J422" s="33">
        <v>5000</v>
      </c>
      <c r="L422" s="6">
        <v>0</v>
      </c>
      <c r="M422" s="6">
        <v>0</v>
      </c>
      <c r="N422" s="6">
        <v>0</v>
      </c>
      <c r="P422" s="15" t="s">
        <v>76</v>
      </c>
      <c r="Q422" s="7">
        <v>0</v>
      </c>
    </row>
    <row r="423" spans="1:17" x14ac:dyDescent="0.25">
      <c r="A423" t="s">
        <v>525</v>
      </c>
      <c r="B423" s="37" t="s">
        <v>528</v>
      </c>
      <c r="C423" s="8" t="s">
        <v>53</v>
      </c>
      <c r="D423" s="39" t="s">
        <v>59</v>
      </c>
      <c r="F423" s="33">
        <v>3000</v>
      </c>
      <c r="G423" s="33">
        <v>5500</v>
      </c>
      <c r="H423" s="46">
        <v>0.83333333333333337</v>
      </c>
      <c r="J423" s="33">
        <v>5000</v>
      </c>
      <c r="L423" s="6">
        <v>0</v>
      </c>
      <c r="M423" s="6">
        <v>0</v>
      </c>
      <c r="N423" s="6">
        <v>0</v>
      </c>
      <c r="P423" s="15" t="s">
        <v>76</v>
      </c>
      <c r="Q423" s="7">
        <v>0</v>
      </c>
    </row>
    <row r="424" spans="1:17" x14ac:dyDescent="0.25">
      <c r="A424" t="s">
        <v>525</v>
      </c>
      <c r="B424" s="37" t="s">
        <v>529</v>
      </c>
      <c r="C424" s="8" t="s">
        <v>53</v>
      </c>
      <c r="D424" s="39" t="s">
        <v>59</v>
      </c>
      <c r="F424" s="33">
        <v>3500</v>
      </c>
      <c r="G424" s="33">
        <v>6500</v>
      </c>
      <c r="H424" s="46">
        <v>0.8571428571428571</v>
      </c>
      <c r="J424" s="33">
        <v>6000</v>
      </c>
      <c r="L424" s="6">
        <v>0</v>
      </c>
      <c r="M424" s="6">
        <v>0</v>
      </c>
      <c r="N424" s="6">
        <v>0</v>
      </c>
      <c r="P424" s="15" t="s">
        <v>76</v>
      </c>
      <c r="Q424" s="7">
        <v>0</v>
      </c>
    </row>
    <row r="425" spans="1:17" x14ac:dyDescent="0.25">
      <c r="A425" t="s">
        <v>360</v>
      </c>
      <c r="B425" s="37" t="s">
        <v>530</v>
      </c>
      <c r="C425" s="8" t="s">
        <v>53</v>
      </c>
      <c r="D425" s="39" t="s">
        <v>59</v>
      </c>
      <c r="F425" s="33">
        <v>3500</v>
      </c>
      <c r="G425" s="33">
        <v>6500</v>
      </c>
      <c r="H425" s="46">
        <v>0.8571428571428571</v>
      </c>
      <c r="J425" s="33">
        <v>6000</v>
      </c>
      <c r="L425" s="6">
        <v>0</v>
      </c>
      <c r="M425" s="6">
        <v>0</v>
      </c>
      <c r="N425" s="6">
        <v>0</v>
      </c>
      <c r="P425" s="15" t="s">
        <v>76</v>
      </c>
      <c r="Q425" s="7">
        <v>0</v>
      </c>
    </row>
    <row r="426" spans="1:17" x14ac:dyDescent="0.25">
      <c r="A426" t="s">
        <v>360</v>
      </c>
      <c r="B426" s="37" t="s">
        <v>531</v>
      </c>
      <c r="C426" s="8" t="s">
        <v>53</v>
      </c>
      <c r="D426" s="39" t="s">
        <v>59</v>
      </c>
      <c r="F426" s="33">
        <v>3200</v>
      </c>
      <c r="G426" s="33">
        <v>6500</v>
      </c>
      <c r="H426" s="46">
        <v>1.03125</v>
      </c>
      <c r="J426" s="33">
        <v>6000</v>
      </c>
      <c r="L426" s="6">
        <v>0</v>
      </c>
      <c r="M426" s="6">
        <v>0</v>
      </c>
      <c r="N426" s="6">
        <v>0</v>
      </c>
      <c r="P426" s="15" t="s">
        <v>76</v>
      </c>
      <c r="Q426" s="7">
        <v>0</v>
      </c>
    </row>
    <row r="427" spans="1:17" x14ac:dyDescent="0.25">
      <c r="A427" t="s">
        <v>360</v>
      </c>
      <c r="B427" s="37" t="s">
        <v>532</v>
      </c>
      <c r="C427" s="8" t="s">
        <v>53</v>
      </c>
      <c r="D427" s="39" t="s">
        <v>59</v>
      </c>
      <c r="F427" s="33">
        <v>2800</v>
      </c>
      <c r="G427" s="33">
        <v>5500</v>
      </c>
      <c r="H427" s="46">
        <v>0.9642857142857143</v>
      </c>
      <c r="J427" s="33">
        <v>4500</v>
      </c>
      <c r="L427" s="6">
        <v>0</v>
      </c>
      <c r="M427" s="6">
        <v>0</v>
      </c>
      <c r="N427" s="6">
        <v>0</v>
      </c>
      <c r="P427" s="15" t="s">
        <v>76</v>
      </c>
      <c r="Q427" s="7">
        <v>0</v>
      </c>
    </row>
    <row r="428" spans="1:17" x14ac:dyDescent="0.25">
      <c r="A428" t="s">
        <v>525</v>
      </c>
      <c r="B428" s="37" t="s">
        <v>533</v>
      </c>
      <c r="C428" s="8" t="s">
        <v>53</v>
      </c>
      <c r="D428" s="39" t="s">
        <v>59</v>
      </c>
      <c r="F428" s="33"/>
      <c r="G428" s="33">
        <v>35000</v>
      </c>
      <c r="H428" s="46"/>
      <c r="J428" s="33"/>
      <c r="L428" s="6">
        <v>0</v>
      </c>
      <c r="M428" s="6">
        <v>0</v>
      </c>
      <c r="N428" s="6">
        <v>0</v>
      </c>
      <c r="P428" s="15" t="s">
        <v>76</v>
      </c>
      <c r="Q428" s="7">
        <v>0</v>
      </c>
    </row>
    <row r="429" spans="1:17" x14ac:dyDescent="0.25">
      <c r="A429" t="s">
        <v>525</v>
      </c>
      <c r="B429" s="37" t="s">
        <v>534</v>
      </c>
      <c r="C429" s="8" t="s">
        <v>53</v>
      </c>
      <c r="D429" s="39" t="s">
        <v>59</v>
      </c>
      <c r="F429" s="33"/>
      <c r="G429" s="33">
        <v>30000</v>
      </c>
      <c r="H429" s="46"/>
      <c r="J429" s="33"/>
      <c r="L429" s="6">
        <v>0</v>
      </c>
      <c r="M429" s="6">
        <v>0</v>
      </c>
      <c r="N429" s="6">
        <v>0</v>
      </c>
      <c r="P429" s="15" t="s">
        <v>76</v>
      </c>
      <c r="Q429" s="7">
        <v>0</v>
      </c>
    </row>
    <row r="430" spans="1:17" x14ac:dyDescent="0.25">
      <c r="A430" t="s">
        <v>360</v>
      </c>
      <c r="B430" s="37" t="s">
        <v>498</v>
      </c>
      <c r="C430" s="8" t="s">
        <v>53</v>
      </c>
      <c r="D430" s="39" t="s">
        <v>59</v>
      </c>
      <c r="F430" s="33">
        <v>1000</v>
      </c>
      <c r="G430" s="33">
        <v>2000</v>
      </c>
      <c r="H430" s="46">
        <v>1</v>
      </c>
      <c r="J430" s="33">
        <v>1500</v>
      </c>
      <c r="L430" s="6">
        <v>0</v>
      </c>
      <c r="M430" s="6">
        <v>0</v>
      </c>
      <c r="N430" s="6">
        <v>0</v>
      </c>
      <c r="P430" s="15" t="s">
        <v>76</v>
      </c>
      <c r="Q430" s="7">
        <v>0</v>
      </c>
    </row>
    <row r="431" spans="1:17" x14ac:dyDescent="0.25">
      <c r="A431" t="s">
        <v>360</v>
      </c>
      <c r="B431" s="37" t="s">
        <v>503</v>
      </c>
      <c r="C431" s="8" t="s">
        <v>53</v>
      </c>
      <c r="D431" s="39" t="s">
        <v>59</v>
      </c>
      <c r="F431" s="33">
        <v>1600</v>
      </c>
      <c r="G431" s="33">
        <v>2500</v>
      </c>
      <c r="H431" s="46">
        <v>0.5625</v>
      </c>
      <c r="J431" s="33">
        <v>2000</v>
      </c>
      <c r="L431" s="6">
        <v>0</v>
      </c>
      <c r="M431" s="6">
        <v>0</v>
      </c>
      <c r="N431" s="6">
        <v>0</v>
      </c>
      <c r="P431" s="15" t="s">
        <v>76</v>
      </c>
      <c r="Q431" s="7">
        <v>0</v>
      </c>
    </row>
    <row r="432" spans="1:17" x14ac:dyDescent="0.25">
      <c r="A432" t="s">
        <v>360</v>
      </c>
      <c r="B432" s="37" t="s">
        <v>499</v>
      </c>
      <c r="C432" s="8" t="s">
        <v>53</v>
      </c>
      <c r="D432" s="39" t="s">
        <v>59</v>
      </c>
      <c r="F432" s="33">
        <v>3000</v>
      </c>
      <c r="G432" s="33">
        <v>5000</v>
      </c>
      <c r="H432" s="46">
        <v>0.66666666666666663</v>
      </c>
      <c r="J432" s="33">
        <v>4500</v>
      </c>
      <c r="L432" s="6">
        <v>0</v>
      </c>
      <c r="M432" s="6">
        <v>0</v>
      </c>
      <c r="N432" s="6">
        <v>0</v>
      </c>
      <c r="P432" s="15" t="s">
        <v>76</v>
      </c>
      <c r="Q432" s="7">
        <v>0</v>
      </c>
    </row>
    <row r="433" spans="1:17" x14ac:dyDescent="0.25">
      <c r="B433" s="37" t="s">
        <v>535</v>
      </c>
      <c r="C433" t="s">
        <v>54</v>
      </c>
      <c r="D433" s="39" t="s">
        <v>59</v>
      </c>
      <c r="F433" s="33">
        <v>400</v>
      </c>
      <c r="G433" s="33">
        <v>1000</v>
      </c>
      <c r="H433" s="46">
        <v>1.5</v>
      </c>
      <c r="J433" s="33">
        <v>8000</v>
      </c>
      <c r="L433" s="6">
        <v>0</v>
      </c>
      <c r="M433" s="6">
        <v>0</v>
      </c>
      <c r="N433" s="6">
        <v>0</v>
      </c>
      <c r="P433" s="15" t="s">
        <v>76</v>
      </c>
      <c r="Q433" s="7">
        <v>0</v>
      </c>
    </row>
    <row r="434" spans="1:17" x14ac:dyDescent="0.25">
      <c r="B434" s="37" t="s">
        <v>536</v>
      </c>
      <c r="C434" t="s">
        <v>54</v>
      </c>
      <c r="D434" s="39" t="s">
        <v>59</v>
      </c>
      <c r="F434" s="33">
        <v>500</v>
      </c>
      <c r="G434" s="33">
        <v>1000</v>
      </c>
      <c r="H434" s="46">
        <v>1</v>
      </c>
      <c r="J434" s="33">
        <v>1000</v>
      </c>
      <c r="L434" s="6">
        <v>0</v>
      </c>
      <c r="M434" s="6">
        <v>0</v>
      </c>
      <c r="N434" s="6">
        <v>0</v>
      </c>
      <c r="P434" s="15" t="s">
        <v>76</v>
      </c>
      <c r="Q434" s="7">
        <v>0</v>
      </c>
    </row>
    <row r="435" spans="1:17" x14ac:dyDescent="0.25">
      <c r="A435" t="s">
        <v>360</v>
      </c>
      <c r="B435" s="37" t="s">
        <v>537</v>
      </c>
      <c r="C435" s="8" t="s">
        <v>53</v>
      </c>
      <c r="D435" s="39" t="s">
        <v>59</v>
      </c>
      <c r="F435" s="33">
        <v>800</v>
      </c>
      <c r="G435" s="33">
        <v>2000</v>
      </c>
      <c r="H435" s="46">
        <v>1.5</v>
      </c>
      <c r="J435" s="33">
        <v>1500</v>
      </c>
      <c r="L435" s="6">
        <v>0</v>
      </c>
      <c r="M435" s="6">
        <v>0</v>
      </c>
      <c r="N435" s="6">
        <v>0</v>
      </c>
      <c r="P435" s="15" t="s">
        <v>76</v>
      </c>
      <c r="Q435" s="7">
        <v>0</v>
      </c>
    </row>
    <row r="436" spans="1:17" x14ac:dyDescent="0.25">
      <c r="B436" s="37" t="s">
        <v>538</v>
      </c>
      <c r="C436" s="8" t="s">
        <v>53</v>
      </c>
      <c r="D436" s="39" t="s">
        <v>59</v>
      </c>
      <c r="F436" s="33">
        <v>1000</v>
      </c>
      <c r="G436" s="33"/>
      <c r="H436" s="46">
        <v>-1</v>
      </c>
      <c r="J436" s="33"/>
      <c r="L436" s="6">
        <v>0</v>
      </c>
      <c r="M436" s="6">
        <v>0</v>
      </c>
      <c r="N436" s="6">
        <v>0</v>
      </c>
      <c r="P436" s="15" t="s">
        <v>76</v>
      </c>
      <c r="Q436" s="7">
        <v>0</v>
      </c>
    </row>
    <row r="437" spans="1:17" x14ac:dyDescent="0.25">
      <c r="A437" t="s">
        <v>107</v>
      </c>
      <c r="B437" s="37" t="s">
        <v>539</v>
      </c>
      <c r="C437" s="8" t="s">
        <v>53</v>
      </c>
      <c r="D437" s="39" t="s">
        <v>59</v>
      </c>
      <c r="F437" s="33">
        <v>180</v>
      </c>
      <c r="G437" s="33"/>
      <c r="H437" s="46">
        <v>-1</v>
      </c>
      <c r="J437" s="33"/>
      <c r="L437" s="6">
        <v>0</v>
      </c>
      <c r="M437" s="6">
        <v>0</v>
      </c>
      <c r="N437" s="6">
        <v>0</v>
      </c>
      <c r="P437" s="15" t="s">
        <v>76</v>
      </c>
      <c r="Q437" s="7">
        <v>0</v>
      </c>
    </row>
    <row r="438" spans="1:17" x14ac:dyDescent="0.25">
      <c r="A438" t="s">
        <v>107</v>
      </c>
      <c r="B438" s="37" t="s">
        <v>540</v>
      </c>
      <c r="C438" s="8" t="s">
        <v>53</v>
      </c>
      <c r="D438" s="39" t="s">
        <v>59</v>
      </c>
      <c r="F438" s="33">
        <v>350</v>
      </c>
      <c r="G438" s="33">
        <v>1000</v>
      </c>
      <c r="H438" s="46">
        <v>1.857142857142857</v>
      </c>
      <c r="J438" s="33">
        <v>700</v>
      </c>
      <c r="L438" s="6">
        <v>0</v>
      </c>
      <c r="M438" s="6">
        <v>0</v>
      </c>
      <c r="N438" s="6">
        <v>0</v>
      </c>
      <c r="P438" s="15" t="s">
        <v>76</v>
      </c>
      <c r="Q438" s="7">
        <v>0</v>
      </c>
    </row>
    <row r="439" spans="1:17" x14ac:dyDescent="0.25">
      <c r="B439" s="37" t="s">
        <v>541</v>
      </c>
      <c r="C439" s="8" t="s">
        <v>53</v>
      </c>
      <c r="D439" s="39" t="s">
        <v>59</v>
      </c>
      <c r="F439" s="33">
        <v>2500</v>
      </c>
      <c r="G439" s="33">
        <v>5000</v>
      </c>
      <c r="H439" s="46">
        <v>1</v>
      </c>
      <c r="J439" s="33">
        <v>4000</v>
      </c>
      <c r="L439" s="6">
        <v>0</v>
      </c>
      <c r="M439" s="6">
        <v>0</v>
      </c>
      <c r="N439" s="6">
        <v>0</v>
      </c>
      <c r="P439" s="15" t="s">
        <v>76</v>
      </c>
      <c r="Q439" s="7">
        <v>0</v>
      </c>
    </row>
    <row r="440" spans="1:17" x14ac:dyDescent="0.25">
      <c r="B440" s="37" t="s">
        <v>542</v>
      </c>
      <c r="C440" s="8" t="s">
        <v>53</v>
      </c>
      <c r="D440" s="39" t="s">
        <v>59</v>
      </c>
      <c r="F440" s="33">
        <v>2000</v>
      </c>
      <c r="G440" s="33">
        <v>4000</v>
      </c>
      <c r="H440" s="46">
        <v>1</v>
      </c>
      <c r="J440" s="33">
        <v>3500</v>
      </c>
      <c r="L440" s="6">
        <v>0</v>
      </c>
      <c r="M440" s="6">
        <v>0</v>
      </c>
      <c r="N440" s="6">
        <v>0</v>
      </c>
      <c r="P440" s="15" t="s">
        <v>76</v>
      </c>
      <c r="Q440" s="7">
        <v>0</v>
      </c>
    </row>
    <row r="441" spans="1:17" x14ac:dyDescent="0.25">
      <c r="A441" t="s">
        <v>341</v>
      </c>
      <c r="B441" s="37" t="s">
        <v>543</v>
      </c>
      <c r="C441" s="8" t="s">
        <v>53</v>
      </c>
      <c r="D441" s="39" t="s">
        <v>59</v>
      </c>
      <c r="F441" s="33">
        <v>450</v>
      </c>
      <c r="G441" s="33">
        <v>1000</v>
      </c>
      <c r="H441" s="46">
        <v>1.2222222222222221</v>
      </c>
      <c r="J441" s="33"/>
      <c r="L441" s="6">
        <v>0</v>
      </c>
      <c r="M441" s="6">
        <v>0</v>
      </c>
      <c r="N441" s="6">
        <v>0</v>
      </c>
      <c r="P441" s="15" t="s">
        <v>76</v>
      </c>
      <c r="Q441" s="7">
        <v>0</v>
      </c>
    </row>
    <row r="442" spans="1:17" x14ac:dyDescent="0.25">
      <c r="B442" s="37" t="s">
        <v>544</v>
      </c>
      <c r="C442" s="8" t="s">
        <v>53</v>
      </c>
      <c r="D442" s="39" t="s">
        <v>59</v>
      </c>
      <c r="F442" s="33">
        <v>750</v>
      </c>
      <c r="G442" s="33">
        <v>1500</v>
      </c>
      <c r="H442" s="46">
        <v>1</v>
      </c>
      <c r="J442" s="33"/>
      <c r="L442" s="6">
        <v>0</v>
      </c>
      <c r="M442" s="6">
        <v>0</v>
      </c>
      <c r="N442" s="6">
        <v>0</v>
      </c>
      <c r="P442" s="15" t="s">
        <v>76</v>
      </c>
      <c r="Q442" s="7">
        <v>0</v>
      </c>
    </row>
    <row r="443" spans="1:17" x14ac:dyDescent="0.25">
      <c r="A443" t="s">
        <v>91</v>
      </c>
      <c r="B443" s="37" t="s">
        <v>545</v>
      </c>
      <c r="C443" t="s">
        <v>54</v>
      </c>
      <c r="D443" s="39" t="s">
        <v>59</v>
      </c>
      <c r="F443" s="33">
        <v>750</v>
      </c>
      <c r="G443" s="33">
        <v>1000</v>
      </c>
      <c r="H443" s="46">
        <v>0.33333333333333331</v>
      </c>
      <c r="J443" s="33"/>
      <c r="L443" s="6">
        <v>0</v>
      </c>
      <c r="M443" s="6">
        <v>0</v>
      </c>
      <c r="N443" s="6">
        <v>0</v>
      </c>
      <c r="P443" s="15" t="s">
        <v>76</v>
      </c>
      <c r="Q443" s="7">
        <v>0</v>
      </c>
    </row>
    <row r="444" spans="1:17" x14ac:dyDescent="0.25">
      <c r="A444" t="s">
        <v>107</v>
      </c>
      <c r="B444" s="37" t="s">
        <v>546</v>
      </c>
      <c r="C444" s="8" t="s">
        <v>53</v>
      </c>
      <c r="D444" t="s">
        <v>514</v>
      </c>
      <c r="F444" s="33">
        <v>1200</v>
      </c>
      <c r="G444" s="33">
        <v>2500</v>
      </c>
      <c r="H444" s="46">
        <v>1.083333333333333</v>
      </c>
      <c r="J444" s="33">
        <v>2000</v>
      </c>
      <c r="L444" s="6">
        <v>0</v>
      </c>
      <c r="M444" s="6">
        <v>0</v>
      </c>
      <c r="N444" s="6">
        <v>0</v>
      </c>
      <c r="P444" s="15" t="s">
        <v>76</v>
      </c>
      <c r="Q444" s="7">
        <v>0</v>
      </c>
    </row>
    <row r="445" spans="1:17" x14ac:dyDescent="0.25">
      <c r="A445" t="s">
        <v>107</v>
      </c>
      <c r="B445" s="37" t="s">
        <v>547</v>
      </c>
      <c r="C445" s="8" t="s">
        <v>53</v>
      </c>
      <c r="D445" t="s">
        <v>514</v>
      </c>
      <c r="F445" s="33">
        <v>1800</v>
      </c>
      <c r="G445" s="33">
        <v>3500</v>
      </c>
      <c r="H445" s="46">
        <v>0.94444444444444442</v>
      </c>
      <c r="J445" s="33">
        <v>3000</v>
      </c>
      <c r="L445" s="6">
        <v>0</v>
      </c>
      <c r="M445" s="6">
        <v>0</v>
      </c>
      <c r="N445" s="6">
        <v>0</v>
      </c>
      <c r="P445" s="15" t="s">
        <v>76</v>
      </c>
      <c r="Q445" s="7">
        <v>0</v>
      </c>
    </row>
    <row r="446" spans="1:17" x14ac:dyDescent="0.25">
      <c r="A446" t="s">
        <v>107</v>
      </c>
      <c r="B446" s="37" t="s">
        <v>548</v>
      </c>
      <c r="C446" s="8" t="s">
        <v>53</v>
      </c>
      <c r="D446" t="s">
        <v>514</v>
      </c>
      <c r="F446" s="33">
        <v>2000</v>
      </c>
      <c r="G446" s="33">
        <v>4500</v>
      </c>
      <c r="H446" s="46">
        <v>1.25</v>
      </c>
      <c r="J446" s="33">
        <v>3500</v>
      </c>
      <c r="L446" s="6">
        <v>0</v>
      </c>
      <c r="M446" s="6">
        <v>0</v>
      </c>
      <c r="N446" s="6">
        <v>0</v>
      </c>
      <c r="P446" s="15" t="s">
        <v>76</v>
      </c>
      <c r="Q446" s="7">
        <v>0</v>
      </c>
    </row>
    <row r="447" spans="1:17" x14ac:dyDescent="0.25">
      <c r="A447" t="s">
        <v>107</v>
      </c>
      <c r="B447" s="37" t="s">
        <v>549</v>
      </c>
      <c r="C447" s="8" t="s">
        <v>53</v>
      </c>
      <c r="D447" t="s">
        <v>514</v>
      </c>
      <c r="F447" s="33">
        <v>3000</v>
      </c>
      <c r="G447" s="33">
        <v>6500</v>
      </c>
      <c r="H447" s="46">
        <v>1.166666666666667</v>
      </c>
      <c r="J447" s="33">
        <v>5000</v>
      </c>
      <c r="L447" s="6">
        <v>0</v>
      </c>
      <c r="M447" s="6">
        <v>0</v>
      </c>
      <c r="N447" s="6">
        <v>0</v>
      </c>
      <c r="P447" s="15" t="s">
        <v>76</v>
      </c>
      <c r="Q447" s="7">
        <v>0</v>
      </c>
    </row>
    <row r="448" spans="1:17" x14ac:dyDescent="0.25">
      <c r="A448" t="s">
        <v>107</v>
      </c>
      <c r="B448" s="37" t="s">
        <v>550</v>
      </c>
      <c r="C448" s="8" t="s">
        <v>53</v>
      </c>
      <c r="D448" t="s">
        <v>514</v>
      </c>
      <c r="F448" s="33">
        <v>6000</v>
      </c>
      <c r="G448" s="33">
        <v>12500</v>
      </c>
      <c r="H448" s="46">
        <v>1.083333333333333</v>
      </c>
      <c r="J448" s="33">
        <v>10000</v>
      </c>
      <c r="L448" s="6">
        <v>0</v>
      </c>
      <c r="M448" s="6">
        <v>0</v>
      </c>
      <c r="N448" s="6">
        <v>0</v>
      </c>
      <c r="P448" s="15" t="s">
        <v>76</v>
      </c>
      <c r="Q448" s="7">
        <v>0</v>
      </c>
    </row>
    <row r="449" spans="1:17" x14ac:dyDescent="0.25">
      <c r="A449" t="s">
        <v>107</v>
      </c>
      <c r="B449" s="37" t="s">
        <v>551</v>
      </c>
      <c r="C449" s="8" t="s">
        <v>53</v>
      </c>
      <c r="D449" t="s">
        <v>514</v>
      </c>
      <c r="F449" s="33">
        <v>9000</v>
      </c>
      <c r="G449" s="33">
        <v>20000</v>
      </c>
      <c r="H449" s="46">
        <v>1.2222222222222221</v>
      </c>
      <c r="J449" s="33">
        <v>15000</v>
      </c>
      <c r="L449" s="6">
        <v>0</v>
      </c>
      <c r="M449" s="6">
        <v>0</v>
      </c>
      <c r="N449" s="6">
        <v>0</v>
      </c>
      <c r="P449" s="15" t="s">
        <v>76</v>
      </c>
      <c r="Q449" s="7">
        <v>0</v>
      </c>
    </row>
    <row r="450" spans="1:17" x14ac:dyDescent="0.25">
      <c r="A450" t="s">
        <v>341</v>
      </c>
      <c r="B450" s="37" t="s">
        <v>552</v>
      </c>
      <c r="C450" s="8" t="s">
        <v>53</v>
      </c>
      <c r="D450" t="s">
        <v>514</v>
      </c>
      <c r="F450" s="33">
        <v>1400</v>
      </c>
      <c r="G450" s="33">
        <v>2500</v>
      </c>
      <c r="H450" s="46">
        <v>0.7857142857142857</v>
      </c>
      <c r="J450" s="33">
        <v>2000</v>
      </c>
      <c r="L450" s="6">
        <v>0</v>
      </c>
      <c r="M450" s="6">
        <v>0</v>
      </c>
      <c r="N450" s="6">
        <v>0</v>
      </c>
      <c r="P450" s="15" t="s">
        <v>76</v>
      </c>
      <c r="Q450" s="7">
        <v>0</v>
      </c>
    </row>
    <row r="451" spans="1:17" x14ac:dyDescent="0.25">
      <c r="A451" t="s">
        <v>341</v>
      </c>
      <c r="B451" s="37" t="s">
        <v>553</v>
      </c>
      <c r="C451" s="8" t="s">
        <v>53</v>
      </c>
      <c r="D451" t="s">
        <v>514</v>
      </c>
      <c r="F451" s="33">
        <v>1400</v>
      </c>
      <c r="G451" s="33">
        <v>2500</v>
      </c>
      <c r="H451" s="46">
        <v>0.7857142857142857</v>
      </c>
      <c r="J451" s="33">
        <v>2000</v>
      </c>
      <c r="L451" s="6">
        <v>0</v>
      </c>
      <c r="M451" s="6">
        <v>0</v>
      </c>
      <c r="N451" s="6">
        <v>0</v>
      </c>
      <c r="P451" s="15" t="s">
        <v>76</v>
      </c>
      <c r="Q451" s="7">
        <v>0</v>
      </c>
    </row>
    <row r="452" spans="1:17" x14ac:dyDescent="0.25">
      <c r="A452" t="s">
        <v>341</v>
      </c>
      <c r="B452" s="37" t="s">
        <v>554</v>
      </c>
      <c r="C452" s="8" t="s">
        <v>53</v>
      </c>
      <c r="D452" t="s">
        <v>514</v>
      </c>
      <c r="F452" s="33">
        <v>1800</v>
      </c>
      <c r="G452" s="33">
        <v>3000</v>
      </c>
      <c r="H452" s="46">
        <v>0.66666666666666663</v>
      </c>
      <c r="J452" s="33">
        <v>2500</v>
      </c>
      <c r="L452" s="6">
        <v>0</v>
      </c>
      <c r="M452" s="6">
        <v>0</v>
      </c>
      <c r="N452" s="6">
        <v>0</v>
      </c>
      <c r="P452" s="15" t="s">
        <v>76</v>
      </c>
      <c r="Q452" s="7">
        <v>0</v>
      </c>
    </row>
    <row r="453" spans="1:17" x14ac:dyDescent="0.25">
      <c r="A453" t="s">
        <v>341</v>
      </c>
      <c r="B453" s="37" t="s">
        <v>555</v>
      </c>
      <c r="C453" s="8" t="s">
        <v>53</v>
      </c>
      <c r="D453" t="s">
        <v>514</v>
      </c>
      <c r="F453" s="33">
        <v>2500</v>
      </c>
      <c r="G453" s="33"/>
      <c r="H453" s="46">
        <v>-1</v>
      </c>
      <c r="J453" s="33"/>
      <c r="L453" s="6">
        <v>0</v>
      </c>
      <c r="M453" s="6">
        <v>0</v>
      </c>
      <c r="N453" s="6">
        <v>0</v>
      </c>
      <c r="P453" s="15" t="s">
        <v>76</v>
      </c>
      <c r="Q453" s="7">
        <v>0</v>
      </c>
    </row>
    <row r="454" spans="1:17" x14ac:dyDescent="0.25">
      <c r="A454" t="s">
        <v>341</v>
      </c>
      <c r="B454" s="37" t="s">
        <v>556</v>
      </c>
      <c r="C454" s="8" t="s">
        <v>53</v>
      </c>
      <c r="D454" t="s">
        <v>514</v>
      </c>
      <c r="F454" s="33">
        <v>3750</v>
      </c>
      <c r="G454" s="33"/>
      <c r="H454" s="46">
        <v>-1</v>
      </c>
      <c r="J454" s="33"/>
      <c r="L454" s="6">
        <v>0</v>
      </c>
      <c r="M454" s="6">
        <v>0</v>
      </c>
      <c r="N454" s="6">
        <v>0</v>
      </c>
      <c r="P454" s="15" t="s">
        <v>76</v>
      </c>
      <c r="Q454" s="7">
        <v>0</v>
      </c>
    </row>
    <row r="455" spans="1:17" x14ac:dyDescent="0.25">
      <c r="B455" s="37" t="s">
        <v>557</v>
      </c>
      <c r="C455" s="8" t="s">
        <v>53</v>
      </c>
      <c r="D455" t="s">
        <v>514</v>
      </c>
      <c r="F455" s="33">
        <v>3500</v>
      </c>
      <c r="G455" s="33"/>
      <c r="H455" s="46">
        <v>-1</v>
      </c>
      <c r="J455" s="33"/>
      <c r="L455" s="6">
        <v>0</v>
      </c>
      <c r="M455" s="6">
        <v>0</v>
      </c>
      <c r="N455" s="6">
        <v>0</v>
      </c>
      <c r="P455" s="15" t="s">
        <v>76</v>
      </c>
      <c r="Q455" s="7">
        <v>0</v>
      </c>
    </row>
    <row r="456" spans="1:17" x14ac:dyDescent="0.25">
      <c r="B456" s="37" t="s">
        <v>558</v>
      </c>
      <c r="C456" s="8" t="s">
        <v>53</v>
      </c>
      <c r="D456" t="s">
        <v>514</v>
      </c>
      <c r="F456" s="33">
        <v>6000</v>
      </c>
      <c r="G456" s="33"/>
      <c r="H456" s="46">
        <v>-1</v>
      </c>
      <c r="J456" s="33"/>
      <c r="L456" s="6">
        <v>0</v>
      </c>
      <c r="M456" s="6">
        <v>0</v>
      </c>
      <c r="N456" s="6">
        <v>0</v>
      </c>
      <c r="P456" s="15" t="s">
        <v>76</v>
      </c>
      <c r="Q456" s="7">
        <v>0</v>
      </c>
    </row>
    <row r="457" spans="1:17" x14ac:dyDescent="0.25">
      <c r="B457" s="37" t="s">
        <v>559</v>
      </c>
      <c r="C457" s="8" t="s">
        <v>53</v>
      </c>
      <c r="D457" t="s">
        <v>514</v>
      </c>
      <c r="F457" s="33">
        <v>2500</v>
      </c>
      <c r="G457" s="33"/>
      <c r="H457" s="46">
        <v>-1</v>
      </c>
      <c r="J457" s="33"/>
      <c r="L457" s="6">
        <v>0</v>
      </c>
      <c r="M457" s="6">
        <v>0</v>
      </c>
      <c r="N457" s="6">
        <v>0</v>
      </c>
      <c r="P457" s="15" t="s">
        <v>76</v>
      </c>
      <c r="Q457" s="7">
        <v>0</v>
      </c>
    </row>
    <row r="458" spans="1:17" x14ac:dyDescent="0.25">
      <c r="B458" s="37" t="s">
        <v>560</v>
      </c>
      <c r="C458" s="8" t="s">
        <v>53</v>
      </c>
      <c r="D458" t="s">
        <v>514</v>
      </c>
      <c r="F458" s="33">
        <v>3000</v>
      </c>
      <c r="G458" s="33"/>
      <c r="H458" s="46">
        <v>-1</v>
      </c>
      <c r="J458" s="33"/>
      <c r="L458" s="6">
        <v>0</v>
      </c>
      <c r="M458" s="6">
        <v>0</v>
      </c>
      <c r="N458" s="6">
        <v>0</v>
      </c>
      <c r="P458" s="15" t="s">
        <v>76</v>
      </c>
      <c r="Q458" s="7">
        <v>0</v>
      </c>
    </row>
    <row r="459" spans="1:17" x14ac:dyDescent="0.25">
      <c r="B459" s="37" t="s">
        <v>561</v>
      </c>
      <c r="C459" s="8" t="s">
        <v>53</v>
      </c>
      <c r="D459" t="s">
        <v>514</v>
      </c>
      <c r="F459" s="33">
        <v>6000</v>
      </c>
      <c r="G459" s="33"/>
      <c r="H459" s="46">
        <v>-1</v>
      </c>
      <c r="J459" s="33"/>
      <c r="L459" s="6">
        <v>0</v>
      </c>
      <c r="M459" s="6">
        <v>0</v>
      </c>
      <c r="N459" s="6">
        <v>0</v>
      </c>
      <c r="P459" s="15" t="s">
        <v>76</v>
      </c>
      <c r="Q459" s="7">
        <v>0</v>
      </c>
    </row>
    <row r="460" spans="1:17" x14ac:dyDescent="0.25">
      <c r="B460" s="37" t="s">
        <v>562</v>
      </c>
      <c r="C460" s="8" t="s">
        <v>53</v>
      </c>
      <c r="D460" t="s">
        <v>514</v>
      </c>
      <c r="F460" s="33">
        <v>2000</v>
      </c>
      <c r="G460" s="33"/>
      <c r="H460" s="46">
        <v>-1</v>
      </c>
      <c r="J460" s="33"/>
      <c r="L460" s="6">
        <v>0</v>
      </c>
      <c r="M460" s="6">
        <v>0</v>
      </c>
      <c r="N460" s="6">
        <v>0</v>
      </c>
      <c r="P460" s="15" t="s">
        <v>76</v>
      </c>
      <c r="Q460" s="7">
        <v>0</v>
      </c>
    </row>
    <row r="461" spans="1:17" x14ac:dyDescent="0.25">
      <c r="B461" s="37" t="s">
        <v>563</v>
      </c>
      <c r="C461" s="8" t="s">
        <v>53</v>
      </c>
      <c r="D461" t="s">
        <v>514</v>
      </c>
      <c r="F461" s="33">
        <v>1750</v>
      </c>
      <c r="G461" s="33"/>
      <c r="H461" s="46">
        <v>-1</v>
      </c>
      <c r="J461" s="33"/>
      <c r="L461" s="6">
        <v>0</v>
      </c>
      <c r="M461" s="6">
        <v>0</v>
      </c>
      <c r="N461" s="6">
        <v>0</v>
      </c>
      <c r="P461" s="15" t="s">
        <v>76</v>
      </c>
      <c r="Q461" s="7">
        <v>0</v>
      </c>
    </row>
    <row r="462" spans="1:17" x14ac:dyDescent="0.25">
      <c r="B462" s="37" t="s">
        <v>564</v>
      </c>
      <c r="C462" s="8" t="s">
        <v>53</v>
      </c>
      <c r="D462" t="s">
        <v>514</v>
      </c>
      <c r="F462" s="33">
        <v>6500</v>
      </c>
      <c r="G462" s="33"/>
      <c r="H462" s="46">
        <v>-1</v>
      </c>
      <c r="J462" s="33"/>
      <c r="L462" s="6">
        <v>0</v>
      </c>
      <c r="M462" s="6">
        <v>0</v>
      </c>
      <c r="N462" s="6">
        <v>0</v>
      </c>
      <c r="P462" s="15" t="s">
        <v>76</v>
      </c>
      <c r="Q462" s="7">
        <v>0</v>
      </c>
    </row>
    <row r="463" spans="1:17" x14ac:dyDescent="0.25">
      <c r="A463" t="s">
        <v>565</v>
      </c>
      <c r="B463" s="37" t="s">
        <v>566</v>
      </c>
      <c r="C463" s="8" t="s">
        <v>53</v>
      </c>
      <c r="D463" t="s">
        <v>514</v>
      </c>
      <c r="F463" s="33">
        <v>250</v>
      </c>
      <c r="G463" s="33"/>
      <c r="H463" s="46">
        <v>-1</v>
      </c>
      <c r="J463" s="33"/>
      <c r="L463" s="6">
        <v>0</v>
      </c>
      <c r="M463" s="6">
        <v>0</v>
      </c>
      <c r="N463" s="6">
        <v>0</v>
      </c>
      <c r="P463" s="15" t="s">
        <v>76</v>
      </c>
      <c r="Q463" s="7">
        <v>0</v>
      </c>
    </row>
    <row r="464" spans="1:17" x14ac:dyDescent="0.25">
      <c r="B464" s="37" t="s">
        <v>567</v>
      </c>
      <c r="C464" s="8" t="s">
        <v>53</v>
      </c>
      <c r="D464" t="s">
        <v>514</v>
      </c>
      <c r="F464" s="33">
        <v>250</v>
      </c>
      <c r="G464" s="33"/>
      <c r="H464" s="46">
        <v>-1</v>
      </c>
      <c r="J464" s="33"/>
      <c r="L464" s="6">
        <v>0</v>
      </c>
      <c r="M464" s="6">
        <v>0</v>
      </c>
      <c r="N464" s="6">
        <v>0</v>
      </c>
      <c r="P464" s="15" t="s">
        <v>76</v>
      </c>
      <c r="Q464" s="7">
        <v>0</v>
      </c>
    </row>
    <row r="465" spans="1:17" x14ac:dyDescent="0.25">
      <c r="B465" s="37" t="s">
        <v>568</v>
      </c>
      <c r="C465" s="8" t="s">
        <v>53</v>
      </c>
      <c r="D465" t="s">
        <v>514</v>
      </c>
      <c r="F465" s="33">
        <v>2500</v>
      </c>
      <c r="G465" s="33"/>
      <c r="H465" s="46">
        <v>-1</v>
      </c>
      <c r="J465" s="33"/>
      <c r="L465" s="6">
        <v>0</v>
      </c>
      <c r="M465" s="6">
        <v>0</v>
      </c>
      <c r="N465" s="6">
        <v>0</v>
      </c>
      <c r="P465" s="15" t="s">
        <v>76</v>
      </c>
      <c r="Q465" s="7">
        <v>0</v>
      </c>
    </row>
    <row r="466" spans="1:17" x14ac:dyDescent="0.25">
      <c r="B466" s="37" t="s">
        <v>569</v>
      </c>
      <c r="C466" s="8" t="s">
        <v>53</v>
      </c>
      <c r="D466" t="s">
        <v>514</v>
      </c>
      <c r="F466" s="33">
        <v>2000</v>
      </c>
      <c r="G466" s="33"/>
      <c r="H466" s="46">
        <v>-1</v>
      </c>
      <c r="J466" s="33"/>
      <c r="L466" s="6"/>
      <c r="M466" s="6"/>
      <c r="N466" s="6">
        <v>0</v>
      </c>
      <c r="P466" s="15"/>
      <c r="Q466" s="7"/>
    </row>
    <row r="467" spans="1:17" x14ac:dyDescent="0.25">
      <c r="A467" t="s">
        <v>341</v>
      </c>
      <c r="B467" s="37" t="s">
        <v>570</v>
      </c>
      <c r="C467" s="8" t="s">
        <v>53</v>
      </c>
      <c r="D467" t="s">
        <v>514</v>
      </c>
      <c r="F467" s="33">
        <v>4750</v>
      </c>
      <c r="G467" s="33"/>
      <c r="H467" s="46">
        <v>-1</v>
      </c>
      <c r="I467">
        <v>4</v>
      </c>
      <c r="J467" s="33"/>
      <c r="L467" s="6"/>
      <c r="M467" s="6"/>
      <c r="N467" s="6">
        <v>4</v>
      </c>
      <c r="P467" s="15"/>
      <c r="Q467" s="7"/>
    </row>
    <row r="468" spans="1:17" x14ac:dyDescent="0.25">
      <c r="B468" s="37" t="s">
        <v>571</v>
      </c>
      <c r="C468" s="8" t="s">
        <v>53</v>
      </c>
      <c r="D468" t="s">
        <v>514</v>
      </c>
      <c r="F468" s="33">
        <v>5000</v>
      </c>
      <c r="G468" s="33"/>
      <c r="H468" s="46">
        <v>-1</v>
      </c>
      <c r="I468">
        <v>1</v>
      </c>
      <c r="J468" s="33"/>
      <c r="L468" s="6"/>
      <c r="M468" s="6"/>
      <c r="N468" s="6">
        <v>1</v>
      </c>
      <c r="P468" s="15"/>
      <c r="Q468" s="7"/>
    </row>
    <row r="469" spans="1:17" x14ac:dyDescent="0.25">
      <c r="B469" s="37" t="s">
        <v>572</v>
      </c>
      <c r="C469" s="8" t="s">
        <v>53</v>
      </c>
      <c r="D469" t="s">
        <v>514</v>
      </c>
      <c r="F469" s="33">
        <v>6000</v>
      </c>
      <c r="G469" s="33"/>
      <c r="H469" s="46">
        <v>-1</v>
      </c>
      <c r="I469">
        <v>5</v>
      </c>
      <c r="J469" s="33"/>
      <c r="L469" s="6"/>
      <c r="M469" s="6"/>
      <c r="N469" s="6">
        <v>5</v>
      </c>
      <c r="P469" s="15"/>
      <c r="Q469" s="7"/>
    </row>
    <row r="470" spans="1:17" x14ac:dyDescent="0.25">
      <c r="A470" t="s">
        <v>573</v>
      </c>
      <c r="B470" s="37" t="s">
        <v>574</v>
      </c>
      <c r="C470" s="8" t="s">
        <v>53</v>
      </c>
      <c r="D470" t="s">
        <v>514</v>
      </c>
      <c r="F470" s="33">
        <v>2500</v>
      </c>
      <c r="G470" s="33"/>
      <c r="H470" s="46">
        <v>-1</v>
      </c>
      <c r="J470" s="33"/>
      <c r="L470" s="6"/>
      <c r="M470" s="6"/>
      <c r="N470" s="6">
        <v>0</v>
      </c>
      <c r="P470" s="15"/>
      <c r="Q470" s="7"/>
    </row>
    <row r="471" spans="1:17" x14ac:dyDescent="0.25">
      <c r="A471" t="s">
        <v>107</v>
      </c>
      <c r="B471" s="37" t="s">
        <v>575</v>
      </c>
      <c r="C471" s="8" t="s">
        <v>53</v>
      </c>
      <c r="D471" t="s">
        <v>514</v>
      </c>
      <c r="F471" s="33">
        <v>2500</v>
      </c>
      <c r="G471" s="33"/>
      <c r="H471" s="46">
        <v>-1</v>
      </c>
      <c r="J471" s="33"/>
      <c r="L471" s="6"/>
      <c r="M471" s="6"/>
      <c r="N471" s="6">
        <v>0</v>
      </c>
      <c r="P471" s="15"/>
      <c r="Q471" s="7"/>
    </row>
    <row r="472" spans="1:17" x14ac:dyDescent="0.25">
      <c r="A472" t="s">
        <v>107</v>
      </c>
      <c r="B472" s="37" t="s">
        <v>490</v>
      </c>
      <c r="C472" s="8" t="s">
        <v>53</v>
      </c>
      <c r="D472" t="s">
        <v>514</v>
      </c>
      <c r="F472" s="33">
        <v>1400</v>
      </c>
      <c r="G472" s="33">
        <v>2500</v>
      </c>
      <c r="H472" s="46">
        <v>0.7857142857142857</v>
      </c>
      <c r="J472" s="33"/>
      <c r="L472" s="6"/>
      <c r="M472" s="6"/>
      <c r="N472" s="6">
        <v>0</v>
      </c>
      <c r="P472" s="15"/>
      <c r="Q472" s="7"/>
    </row>
    <row r="473" spans="1:17" x14ac:dyDescent="0.25">
      <c r="A473" t="s">
        <v>107</v>
      </c>
      <c r="B473" s="37" t="s">
        <v>576</v>
      </c>
      <c r="C473" s="8" t="s">
        <v>53</v>
      </c>
      <c r="D473" t="s">
        <v>514</v>
      </c>
      <c r="F473" s="33">
        <v>1600</v>
      </c>
      <c r="G473" s="33">
        <v>3000</v>
      </c>
      <c r="H473" s="46">
        <v>0.875</v>
      </c>
      <c r="J473" s="33"/>
      <c r="L473" s="6"/>
      <c r="M473" s="6"/>
      <c r="N473" s="6">
        <v>0</v>
      </c>
      <c r="P473" s="15"/>
      <c r="Q473" s="7"/>
    </row>
    <row r="474" spans="1:17" x14ac:dyDescent="0.25">
      <c r="B474" s="37" t="s">
        <v>577</v>
      </c>
      <c r="C474" s="8" t="s">
        <v>53</v>
      </c>
      <c r="D474" t="s">
        <v>514</v>
      </c>
      <c r="E474">
        <v>1000</v>
      </c>
      <c r="F474" s="33">
        <v>2500</v>
      </c>
      <c r="G474" s="33">
        <v>5000</v>
      </c>
      <c r="H474" s="46">
        <v>1</v>
      </c>
      <c r="J474" s="33">
        <v>4000</v>
      </c>
      <c r="L474" s="6"/>
      <c r="M474" s="6"/>
      <c r="N474" s="6">
        <v>0</v>
      </c>
      <c r="P474" s="15"/>
      <c r="Q474" s="7"/>
    </row>
    <row r="475" spans="1:17" x14ac:dyDescent="0.25">
      <c r="A475" t="s">
        <v>102</v>
      </c>
      <c r="B475" s="37" t="s">
        <v>578</v>
      </c>
      <c r="C475" s="5" t="s">
        <v>54</v>
      </c>
      <c r="D475" t="s">
        <v>579</v>
      </c>
      <c r="F475" s="33">
        <v>1750</v>
      </c>
      <c r="G475" s="33">
        <v>3000</v>
      </c>
      <c r="H475" s="46">
        <v>0.7142857142857143</v>
      </c>
      <c r="J475" s="33">
        <v>2500</v>
      </c>
      <c r="L475" s="6"/>
      <c r="M475" s="6"/>
      <c r="N475" s="6">
        <v>0</v>
      </c>
      <c r="P475" s="15"/>
      <c r="Q475" s="7"/>
    </row>
    <row r="476" spans="1:17" x14ac:dyDescent="0.25">
      <c r="A476" t="s">
        <v>102</v>
      </c>
      <c r="B476" s="37" t="s">
        <v>580</v>
      </c>
      <c r="C476" s="5" t="s">
        <v>54</v>
      </c>
      <c r="D476" t="s">
        <v>579</v>
      </c>
      <c r="F476" s="33">
        <v>1750</v>
      </c>
      <c r="G476" s="33">
        <v>3000</v>
      </c>
      <c r="H476" s="46">
        <v>0.7142857142857143</v>
      </c>
      <c r="J476" s="33">
        <v>2500</v>
      </c>
      <c r="L476" s="6"/>
      <c r="M476" s="6"/>
      <c r="N476" s="6">
        <v>0</v>
      </c>
      <c r="P476" s="15"/>
      <c r="Q476" s="7"/>
    </row>
    <row r="477" spans="1:17" x14ac:dyDescent="0.25">
      <c r="A477" t="s">
        <v>92</v>
      </c>
      <c r="B477" s="37" t="s">
        <v>581</v>
      </c>
      <c r="C477" s="5" t="s">
        <v>54</v>
      </c>
      <c r="D477" t="s">
        <v>579</v>
      </c>
      <c r="F477" s="33">
        <v>12500</v>
      </c>
      <c r="G477" s="33">
        <v>15000</v>
      </c>
      <c r="H477" s="46">
        <v>0.2</v>
      </c>
      <c r="J477" s="33">
        <v>14500</v>
      </c>
      <c r="L477" s="6"/>
      <c r="M477" s="6"/>
      <c r="N477" s="6">
        <v>0</v>
      </c>
      <c r="P477" s="15"/>
      <c r="Q477" s="7"/>
    </row>
    <row r="478" spans="1:17" x14ac:dyDescent="0.25">
      <c r="A478" t="s">
        <v>92</v>
      </c>
      <c r="B478" s="37" t="s">
        <v>582</v>
      </c>
      <c r="C478" s="5" t="s">
        <v>54</v>
      </c>
      <c r="F478" s="33">
        <v>12500</v>
      </c>
      <c r="G478" s="33">
        <v>15000</v>
      </c>
      <c r="H478" s="46">
        <v>0.2</v>
      </c>
      <c r="I478">
        <v>6</v>
      </c>
      <c r="J478" s="33">
        <v>14500</v>
      </c>
      <c r="L478" s="6"/>
      <c r="M478" s="6"/>
      <c r="N478" s="6">
        <v>6</v>
      </c>
      <c r="P478" s="15"/>
      <c r="Q478" s="7"/>
    </row>
    <row r="479" spans="1:17" x14ac:dyDescent="0.25">
      <c r="A479" t="s">
        <v>92</v>
      </c>
      <c r="B479" s="37" t="s">
        <v>583</v>
      </c>
      <c r="C479" s="37" t="s">
        <v>52</v>
      </c>
      <c r="D479" t="s">
        <v>59</v>
      </c>
      <c r="F479" s="33">
        <v>1200</v>
      </c>
      <c r="G479" s="33">
        <v>1500</v>
      </c>
      <c r="H479" s="46">
        <v>0.25</v>
      </c>
      <c r="I479">
        <v>4</v>
      </c>
      <c r="J479" s="33">
        <v>1500</v>
      </c>
      <c r="L479" s="6"/>
      <c r="M479" s="6"/>
      <c r="N479" s="6">
        <v>4</v>
      </c>
      <c r="P479" s="15"/>
      <c r="Q479" s="7"/>
    </row>
    <row r="480" spans="1:17" x14ac:dyDescent="0.25">
      <c r="A480" t="s">
        <v>584</v>
      </c>
      <c r="B480" s="37" t="s">
        <v>583</v>
      </c>
      <c r="C480" s="37" t="s">
        <v>52</v>
      </c>
      <c r="D480" t="s">
        <v>59</v>
      </c>
      <c r="F480" s="33">
        <v>800</v>
      </c>
      <c r="G480" s="33">
        <v>1000</v>
      </c>
      <c r="H480" s="46">
        <v>0.25</v>
      </c>
      <c r="I480">
        <v>8</v>
      </c>
      <c r="J480" s="33">
        <v>1000</v>
      </c>
      <c r="L480" s="6"/>
      <c r="M480" s="6"/>
      <c r="N480" s="6">
        <v>8</v>
      </c>
      <c r="P480" s="15"/>
      <c r="Q480" s="7"/>
    </row>
    <row r="481" spans="1:17" x14ac:dyDescent="0.25">
      <c r="A481" t="s">
        <v>585</v>
      </c>
      <c r="B481" s="37" t="s">
        <v>586</v>
      </c>
      <c r="C481" s="5" t="s">
        <v>50</v>
      </c>
      <c r="F481" s="33">
        <v>12500</v>
      </c>
      <c r="G481" s="33">
        <v>15000</v>
      </c>
      <c r="H481" s="46">
        <v>0.2</v>
      </c>
      <c r="I481">
        <v>3</v>
      </c>
      <c r="J481" s="33">
        <v>14000</v>
      </c>
      <c r="L481" s="6"/>
      <c r="M481" s="6"/>
      <c r="N481" s="6">
        <v>3</v>
      </c>
      <c r="P481" s="15"/>
      <c r="Q481" s="7"/>
    </row>
    <row r="482" spans="1:17" x14ac:dyDescent="0.25">
      <c r="A482" t="s">
        <v>105</v>
      </c>
      <c r="B482" s="37" t="s">
        <v>587</v>
      </c>
      <c r="C482" s="37" t="s">
        <v>52</v>
      </c>
      <c r="D482" t="s">
        <v>75</v>
      </c>
      <c r="F482" s="33">
        <v>11500</v>
      </c>
      <c r="G482" s="33">
        <v>15000</v>
      </c>
      <c r="H482" s="46">
        <v>0.30434782608695649</v>
      </c>
      <c r="I482">
        <v>5</v>
      </c>
      <c r="J482" s="33">
        <v>15000</v>
      </c>
      <c r="L482" s="6"/>
      <c r="M482" s="6"/>
      <c r="N482" s="6">
        <v>5</v>
      </c>
      <c r="P482" s="15"/>
      <c r="Q482" s="7"/>
    </row>
    <row r="483" spans="1:17" x14ac:dyDescent="0.25">
      <c r="A483" t="s">
        <v>588</v>
      </c>
      <c r="B483" s="37" t="s">
        <v>589</v>
      </c>
      <c r="C483" s="37" t="s">
        <v>52</v>
      </c>
      <c r="D483" t="s">
        <v>84</v>
      </c>
      <c r="F483" s="33">
        <v>5000</v>
      </c>
      <c r="G483" s="33">
        <v>7500</v>
      </c>
      <c r="H483" s="46">
        <v>0.5</v>
      </c>
      <c r="I483">
        <v>4</v>
      </c>
      <c r="J483" s="33">
        <v>6500</v>
      </c>
      <c r="L483" s="6"/>
      <c r="M483" s="6"/>
      <c r="N483" s="6">
        <v>4</v>
      </c>
      <c r="P483" s="15"/>
      <c r="Q483" s="7"/>
    </row>
    <row r="484" spans="1:17" x14ac:dyDescent="0.25">
      <c r="A484" t="s">
        <v>588</v>
      </c>
      <c r="B484" s="37" t="s">
        <v>590</v>
      </c>
      <c r="C484" s="37" t="s">
        <v>52</v>
      </c>
      <c r="D484" t="s">
        <v>84</v>
      </c>
      <c r="F484" s="33">
        <v>11500</v>
      </c>
      <c r="G484" s="33">
        <v>15000</v>
      </c>
      <c r="H484" s="46">
        <v>0.30434782608695649</v>
      </c>
      <c r="I484">
        <v>5</v>
      </c>
      <c r="J484" s="33">
        <v>13500</v>
      </c>
      <c r="L484" s="6"/>
      <c r="M484" s="6"/>
      <c r="N484" s="6">
        <v>5</v>
      </c>
      <c r="P484" s="15"/>
      <c r="Q484" s="7"/>
    </row>
    <row r="485" spans="1:17" x14ac:dyDescent="0.25">
      <c r="A485" t="s">
        <v>591</v>
      </c>
      <c r="B485" s="37" t="s">
        <v>592</v>
      </c>
      <c r="C485" s="5" t="s">
        <v>54</v>
      </c>
      <c r="D485" t="s">
        <v>84</v>
      </c>
      <c r="F485" s="33">
        <v>27000</v>
      </c>
      <c r="G485" s="33">
        <v>30000</v>
      </c>
      <c r="H485" s="46">
        <v>0.1111111111111111</v>
      </c>
      <c r="J485" s="33">
        <v>29000</v>
      </c>
      <c r="L485" s="6"/>
      <c r="M485" s="6"/>
      <c r="N485" s="6">
        <v>0</v>
      </c>
      <c r="P485" s="15"/>
      <c r="Q485" s="7"/>
    </row>
    <row r="486" spans="1:17" x14ac:dyDescent="0.25">
      <c r="A486" t="s">
        <v>92</v>
      </c>
      <c r="B486" s="37" t="s">
        <v>593</v>
      </c>
      <c r="C486" s="37" t="s">
        <v>52</v>
      </c>
      <c r="D486" t="s">
        <v>88</v>
      </c>
      <c r="E486">
        <v>3000</v>
      </c>
      <c r="F486" s="33">
        <v>23000</v>
      </c>
      <c r="G486" s="33">
        <v>26000</v>
      </c>
      <c r="H486" s="46">
        <v>0.13043478260869559</v>
      </c>
      <c r="I486">
        <v>3</v>
      </c>
      <c r="J486" s="33">
        <v>25000</v>
      </c>
      <c r="L486" s="6"/>
      <c r="M486" s="6"/>
      <c r="N486" s="6">
        <v>3</v>
      </c>
      <c r="P486" s="15"/>
      <c r="Q486" s="7"/>
    </row>
    <row r="487" spans="1:17" x14ac:dyDescent="0.25">
      <c r="A487" t="s">
        <v>105</v>
      </c>
      <c r="B487" s="37" t="s">
        <v>594</v>
      </c>
      <c r="C487" s="37" t="s">
        <v>52</v>
      </c>
      <c r="D487" t="s">
        <v>88</v>
      </c>
      <c r="E487">
        <v>2500</v>
      </c>
      <c r="F487" s="33">
        <v>18500</v>
      </c>
      <c r="G487" s="33">
        <v>23000</v>
      </c>
      <c r="H487" s="46">
        <v>0.24324324324324331</v>
      </c>
      <c r="I487">
        <v>6</v>
      </c>
      <c r="J487" s="33">
        <v>20000</v>
      </c>
      <c r="L487" s="6"/>
      <c r="M487" s="6"/>
      <c r="N487" s="6">
        <v>6</v>
      </c>
      <c r="P487" s="15"/>
      <c r="Q487" s="7"/>
    </row>
    <row r="488" spans="1:17" x14ac:dyDescent="0.25">
      <c r="B488" s="37" t="s">
        <v>595</v>
      </c>
      <c r="C488" s="5" t="s">
        <v>54</v>
      </c>
      <c r="D488" t="s">
        <v>88</v>
      </c>
      <c r="E488">
        <v>2000</v>
      </c>
      <c r="F488" s="33">
        <v>165000</v>
      </c>
      <c r="G488" s="33">
        <v>200000</v>
      </c>
      <c r="H488" s="46">
        <v>0.2121212121212121</v>
      </c>
      <c r="I488">
        <v>1</v>
      </c>
      <c r="J488" s="33">
        <v>1800</v>
      </c>
      <c r="L488" s="6"/>
      <c r="M488" s="6"/>
      <c r="N488" s="6">
        <v>1</v>
      </c>
      <c r="P488" s="15"/>
      <c r="Q488" s="7"/>
    </row>
    <row r="489" spans="1:17" x14ac:dyDescent="0.25">
      <c r="A489" t="s">
        <v>178</v>
      </c>
      <c r="B489" s="37" t="s">
        <v>596</v>
      </c>
      <c r="C489" s="37" t="s">
        <v>50</v>
      </c>
      <c r="D489" t="s">
        <v>514</v>
      </c>
      <c r="F489" s="33">
        <v>15000</v>
      </c>
      <c r="G489" s="33">
        <v>20000</v>
      </c>
      <c r="H489" s="46">
        <v>0.33333333333333331</v>
      </c>
      <c r="I489">
        <v>2</v>
      </c>
      <c r="J489" s="33">
        <v>17500</v>
      </c>
      <c r="L489" s="6"/>
      <c r="M489" s="6"/>
      <c r="N489" s="6">
        <v>2</v>
      </c>
      <c r="P489" s="15"/>
      <c r="Q489" s="7"/>
    </row>
    <row r="490" spans="1:17" x14ac:dyDescent="0.25">
      <c r="A490" t="s">
        <v>178</v>
      </c>
      <c r="B490" s="37" t="s">
        <v>597</v>
      </c>
      <c r="C490" s="37" t="s">
        <v>50</v>
      </c>
      <c r="D490" t="s">
        <v>514</v>
      </c>
      <c r="F490" s="33">
        <v>57000</v>
      </c>
      <c r="G490" s="33">
        <v>70000</v>
      </c>
      <c r="H490" s="46">
        <v>0.22807017543859651</v>
      </c>
      <c r="I490">
        <v>2</v>
      </c>
      <c r="J490" s="33">
        <v>65000</v>
      </c>
      <c r="L490" s="6"/>
      <c r="M490" s="6"/>
      <c r="N490" s="6">
        <v>2</v>
      </c>
      <c r="P490" s="15"/>
      <c r="Q490" s="7"/>
    </row>
    <row r="491" spans="1:17" x14ac:dyDescent="0.25">
      <c r="A491" t="s">
        <v>178</v>
      </c>
      <c r="B491" s="37" t="s">
        <v>598</v>
      </c>
      <c r="C491" s="37" t="s">
        <v>50</v>
      </c>
      <c r="D491" t="s">
        <v>75</v>
      </c>
      <c r="E491">
        <v>1500</v>
      </c>
      <c r="F491" s="33">
        <v>22500</v>
      </c>
      <c r="G491" s="33">
        <v>35000</v>
      </c>
      <c r="H491" s="46">
        <v>0.55555555555555558</v>
      </c>
      <c r="I491">
        <v>6</v>
      </c>
      <c r="J491" s="33">
        <v>30000</v>
      </c>
      <c r="L491" s="6"/>
      <c r="M491" s="6"/>
      <c r="N491" s="6">
        <v>6</v>
      </c>
      <c r="P491" s="15"/>
      <c r="Q491" s="7"/>
    </row>
    <row r="492" spans="1:17" x14ac:dyDescent="0.25">
      <c r="A492" t="s">
        <v>178</v>
      </c>
      <c r="B492" s="37" t="s">
        <v>599</v>
      </c>
      <c r="C492" s="37" t="s">
        <v>50</v>
      </c>
      <c r="D492" t="s">
        <v>514</v>
      </c>
      <c r="F492" s="33">
        <v>3000</v>
      </c>
      <c r="G492" s="33">
        <v>4500</v>
      </c>
      <c r="H492" s="46">
        <v>0.5</v>
      </c>
      <c r="I492">
        <v>4</v>
      </c>
      <c r="J492" s="33">
        <v>4000</v>
      </c>
      <c r="L492" s="6"/>
      <c r="M492" s="6"/>
      <c r="N492" s="6">
        <v>4</v>
      </c>
      <c r="P492" s="15"/>
      <c r="Q492" s="7"/>
    </row>
    <row r="493" spans="1:17" x14ac:dyDescent="0.25">
      <c r="B493" s="24" t="s">
        <v>103</v>
      </c>
      <c r="C493" s="29" t="s">
        <v>52</v>
      </c>
      <c r="D493" s="35" t="s">
        <v>59</v>
      </c>
      <c r="F493" s="33">
        <v>800</v>
      </c>
      <c r="G493" s="33">
        <v>1500</v>
      </c>
      <c r="H493" s="16">
        <v>0.89189189189189189</v>
      </c>
      <c r="J493" s="33"/>
      <c r="L493" s="6"/>
      <c r="M493" s="6"/>
      <c r="N493" s="6">
        <v>0</v>
      </c>
      <c r="P493" s="15"/>
      <c r="Q493" s="7"/>
    </row>
    <row r="494" spans="1:17" x14ac:dyDescent="0.25">
      <c r="B494" s="37" t="s">
        <v>600</v>
      </c>
      <c r="C494" s="29" t="s">
        <v>52</v>
      </c>
      <c r="D494" s="35" t="s">
        <v>59</v>
      </c>
      <c r="F494" s="33">
        <v>1200</v>
      </c>
      <c r="G494" s="33">
        <v>2500</v>
      </c>
      <c r="H494" s="46">
        <v>1.083333333333333</v>
      </c>
      <c r="J494" s="33"/>
      <c r="L494" s="6">
        <v>0</v>
      </c>
      <c r="M494" s="6">
        <v>0</v>
      </c>
      <c r="N494" s="6">
        <v>0</v>
      </c>
      <c r="P494" s="15" t="s">
        <v>76</v>
      </c>
      <c r="Q494" s="7">
        <v>0</v>
      </c>
    </row>
    <row r="495" spans="1:17" x14ac:dyDescent="0.25">
      <c r="B495" s="37" t="s">
        <v>199</v>
      </c>
      <c r="C495" s="29" t="s">
        <v>52</v>
      </c>
      <c r="D495" s="35" t="s">
        <v>59</v>
      </c>
      <c r="F495" s="33">
        <v>3500</v>
      </c>
      <c r="G495" s="33">
        <v>6000</v>
      </c>
      <c r="H495" s="46">
        <v>0.7142857142857143</v>
      </c>
      <c r="J495" s="33"/>
      <c r="L495" s="6"/>
      <c r="M495" s="6"/>
      <c r="N495" s="6">
        <v>0</v>
      </c>
      <c r="P495" s="15"/>
      <c r="Q495" s="7">
        <v>0</v>
      </c>
    </row>
    <row r="496" spans="1:17" x14ac:dyDescent="0.25">
      <c r="B496" s="37" t="s">
        <v>601</v>
      </c>
      <c r="C496" s="29" t="s">
        <v>52</v>
      </c>
      <c r="D496" s="35" t="s">
        <v>59</v>
      </c>
      <c r="F496" s="33">
        <v>150</v>
      </c>
      <c r="G496" s="33">
        <v>400</v>
      </c>
      <c r="H496" s="46">
        <v>1.666666666666667</v>
      </c>
      <c r="J496" s="33">
        <v>300</v>
      </c>
      <c r="L496" s="6"/>
      <c r="M496" s="6"/>
      <c r="N496" s="6">
        <v>0</v>
      </c>
      <c r="P496" s="15"/>
      <c r="Q496" s="7">
        <v>0</v>
      </c>
    </row>
    <row r="497" spans="2:17" x14ac:dyDescent="0.25">
      <c r="B497" s="37" t="s">
        <v>602</v>
      </c>
      <c r="C497" s="29" t="s">
        <v>52</v>
      </c>
      <c r="D497" s="35" t="s">
        <v>59</v>
      </c>
      <c r="F497" s="33">
        <v>150</v>
      </c>
      <c r="G497" s="33">
        <v>400</v>
      </c>
      <c r="H497" s="46">
        <v>1.666666666666667</v>
      </c>
      <c r="J497" s="33">
        <v>300</v>
      </c>
      <c r="L497" s="6"/>
      <c r="M497" s="6"/>
      <c r="N497" s="6">
        <v>0</v>
      </c>
      <c r="P497" s="15"/>
      <c r="Q497" s="7">
        <v>0</v>
      </c>
    </row>
    <row r="498" spans="2:17" x14ac:dyDescent="0.25">
      <c r="B498" s="37" t="s">
        <v>603</v>
      </c>
      <c r="C498" s="29" t="s">
        <v>52</v>
      </c>
      <c r="D498" s="35" t="s">
        <v>59</v>
      </c>
      <c r="F498" s="33">
        <v>450</v>
      </c>
      <c r="G498" s="33">
        <v>1000</v>
      </c>
      <c r="H498" s="46">
        <v>1.2222222222222221</v>
      </c>
      <c r="J498" s="33">
        <v>900</v>
      </c>
      <c r="L498" s="6"/>
      <c r="M498" s="6"/>
      <c r="N498" s="6">
        <v>0</v>
      </c>
      <c r="P498" s="15"/>
      <c r="Q498" s="7">
        <v>0</v>
      </c>
    </row>
    <row r="499" spans="2:17" x14ac:dyDescent="0.25">
      <c r="B499" s="37" t="s">
        <v>604</v>
      </c>
      <c r="C499" s="29" t="s">
        <v>52</v>
      </c>
      <c r="D499" s="35" t="s">
        <v>59</v>
      </c>
      <c r="F499" s="33">
        <v>750</v>
      </c>
      <c r="G499" s="33">
        <v>1700</v>
      </c>
      <c r="H499" s="46">
        <v>1.2666666666666671</v>
      </c>
      <c r="J499" s="33">
        <v>1500</v>
      </c>
      <c r="L499" s="6"/>
      <c r="M499" s="6"/>
      <c r="N499" s="6">
        <v>0</v>
      </c>
      <c r="P499" s="15"/>
      <c r="Q499" s="7">
        <v>0</v>
      </c>
    </row>
    <row r="500" spans="2:17" x14ac:dyDescent="0.25">
      <c r="B500" s="37" t="s">
        <v>605</v>
      </c>
      <c r="C500" s="29" t="s">
        <v>52</v>
      </c>
      <c r="D500" s="35" t="s">
        <v>59</v>
      </c>
      <c r="F500" s="33">
        <v>850</v>
      </c>
      <c r="G500" s="33">
        <v>2000</v>
      </c>
      <c r="H500" s="46">
        <v>1.3529411764705881</v>
      </c>
      <c r="J500" s="33">
        <v>1500</v>
      </c>
      <c r="L500" s="6"/>
      <c r="M500" s="6"/>
      <c r="N500" s="6">
        <v>0</v>
      </c>
      <c r="P500" s="15"/>
      <c r="Q500" s="7">
        <v>0</v>
      </c>
    </row>
    <row r="501" spans="2:17" x14ac:dyDescent="0.25">
      <c r="B501" s="37" t="s">
        <v>606</v>
      </c>
      <c r="C501" s="29" t="s">
        <v>52</v>
      </c>
      <c r="D501" s="35" t="s">
        <v>59</v>
      </c>
      <c r="F501" s="33">
        <v>3500</v>
      </c>
      <c r="G501" s="33">
        <v>6000</v>
      </c>
      <c r="H501" s="46">
        <v>0.7142857142857143</v>
      </c>
      <c r="J501" s="33">
        <v>5000</v>
      </c>
      <c r="L501" s="6"/>
      <c r="M501" s="6"/>
      <c r="N501" s="6">
        <v>0</v>
      </c>
      <c r="P501" s="15"/>
      <c r="Q501" s="7">
        <v>0</v>
      </c>
    </row>
    <row r="502" spans="2:17" x14ac:dyDescent="0.25">
      <c r="B502" s="37" t="s">
        <v>607</v>
      </c>
      <c r="C502" s="29" t="s">
        <v>52</v>
      </c>
      <c r="D502" s="35" t="s">
        <v>59</v>
      </c>
      <c r="F502" s="33">
        <v>800</v>
      </c>
      <c r="G502" s="33">
        <v>2000</v>
      </c>
      <c r="H502" s="46">
        <v>1.5</v>
      </c>
      <c r="J502" s="33">
        <v>1500</v>
      </c>
      <c r="L502" s="6"/>
      <c r="M502" s="6"/>
      <c r="N502" s="6">
        <v>0</v>
      </c>
      <c r="P502" s="15"/>
      <c r="Q502" s="7">
        <v>0</v>
      </c>
    </row>
    <row r="503" spans="2:17" x14ac:dyDescent="0.25">
      <c r="B503" s="37" t="s">
        <v>608</v>
      </c>
      <c r="C503" s="29" t="s">
        <v>52</v>
      </c>
      <c r="D503" s="35" t="s">
        <v>59</v>
      </c>
      <c r="F503" s="33">
        <v>1600</v>
      </c>
      <c r="G503" s="33">
        <v>3000</v>
      </c>
      <c r="H503" s="46">
        <v>0.875</v>
      </c>
      <c r="J503" s="33">
        <v>2500</v>
      </c>
      <c r="L503" s="6"/>
      <c r="M503" s="6"/>
      <c r="N503" s="6">
        <v>0</v>
      </c>
      <c r="P503" s="15"/>
      <c r="Q503" s="7">
        <v>0</v>
      </c>
    </row>
    <row r="504" spans="2:17" x14ac:dyDescent="0.25">
      <c r="B504" s="37" t="s">
        <v>609</v>
      </c>
      <c r="C504" s="29" t="s">
        <v>52</v>
      </c>
      <c r="D504" s="35" t="s">
        <v>59</v>
      </c>
      <c r="F504" s="33">
        <v>1900</v>
      </c>
      <c r="G504" s="33">
        <v>3000</v>
      </c>
      <c r="H504" s="46">
        <v>0.57894736842105265</v>
      </c>
      <c r="J504" s="33">
        <v>2500</v>
      </c>
      <c r="L504" s="6"/>
      <c r="M504" s="6"/>
      <c r="N504" s="6">
        <v>0</v>
      </c>
      <c r="P504" s="15"/>
      <c r="Q504" s="7">
        <v>0</v>
      </c>
    </row>
    <row r="505" spans="2:17" x14ac:dyDescent="0.25">
      <c r="B505" s="37" t="s">
        <v>610</v>
      </c>
      <c r="C505" s="29" t="s">
        <v>52</v>
      </c>
      <c r="D505" s="35" t="s">
        <v>59</v>
      </c>
      <c r="F505" s="33">
        <v>2000</v>
      </c>
      <c r="G505" s="33">
        <v>3500</v>
      </c>
      <c r="H505" s="46">
        <v>0.75</v>
      </c>
      <c r="J505" s="33">
        <v>3000</v>
      </c>
      <c r="L505" s="6"/>
      <c r="M505" s="6"/>
      <c r="N505" s="6">
        <v>0</v>
      </c>
      <c r="P505" s="15"/>
      <c r="Q505" s="7">
        <v>0</v>
      </c>
    </row>
    <row r="506" spans="2:17" x14ac:dyDescent="0.25">
      <c r="B506" s="37" t="s">
        <v>611</v>
      </c>
      <c r="C506" s="29" t="s">
        <v>52</v>
      </c>
      <c r="D506" s="35" t="s">
        <v>59</v>
      </c>
      <c r="F506" s="33">
        <v>750</v>
      </c>
      <c r="G506" s="33">
        <v>1500</v>
      </c>
      <c r="H506" s="46">
        <v>1</v>
      </c>
      <c r="J506" s="33">
        <v>1000</v>
      </c>
      <c r="L506" s="6"/>
      <c r="M506" s="6"/>
      <c r="N506" s="6">
        <v>0</v>
      </c>
      <c r="P506" s="15"/>
      <c r="Q506" s="7">
        <v>0</v>
      </c>
    </row>
    <row r="507" spans="2:17" x14ac:dyDescent="0.25">
      <c r="B507" s="37" t="s">
        <v>612</v>
      </c>
      <c r="C507" s="29" t="s">
        <v>52</v>
      </c>
      <c r="D507" s="35" t="s">
        <v>59</v>
      </c>
      <c r="F507" s="33">
        <v>1000</v>
      </c>
      <c r="G507" s="33">
        <v>2000</v>
      </c>
      <c r="H507" s="46">
        <v>1</v>
      </c>
      <c r="J507" s="33">
        <v>1500</v>
      </c>
      <c r="L507" s="6"/>
      <c r="M507" s="6"/>
      <c r="N507" s="6">
        <v>0</v>
      </c>
      <c r="P507" s="15"/>
      <c r="Q507" s="7">
        <v>0</v>
      </c>
    </row>
    <row r="508" spans="2:17" x14ac:dyDescent="0.25">
      <c r="B508" s="37" t="s">
        <v>613</v>
      </c>
      <c r="C508" s="29" t="s">
        <v>52</v>
      </c>
      <c r="D508" s="35" t="s">
        <v>59</v>
      </c>
      <c r="F508" s="33">
        <v>1200</v>
      </c>
      <c r="G508" s="33">
        <v>2000</v>
      </c>
      <c r="H508" s="46">
        <v>0.66666666666666663</v>
      </c>
      <c r="J508" s="33">
        <v>1600</v>
      </c>
      <c r="L508" s="6"/>
      <c r="M508" s="6"/>
      <c r="N508" s="6">
        <v>0</v>
      </c>
      <c r="P508" s="15"/>
      <c r="Q508" s="7">
        <v>0</v>
      </c>
    </row>
    <row r="509" spans="2:17" x14ac:dyDescent="0.25">
      <c r="B509" s="37" t="s">
        <v>614</v>
      </c>
      <c r="C509" s="29" t="s">
        <v>52</v>
      </c>
      <c r="D509" s="35" t="s">
        <v>59</v>
      </c>
      <c r="F509" s="33">
        <v>1600</v>
      </c>
      <c r="G509" s="33">
        <v>3000</v>
      </c>
      <c r="H509" s="46">
        <v>0.875</v>
      </c>
      <c r="J509" s="33">
        <v>2500</v>
      </c>
      <c r="L509" s="6"/>
      <c r="M509" s="6"/>
      <c r="N509" s="6">
        <v>0</v>
      </c>
      <c r="P509" s="15"/>
      <c r="Q509" s="7">
        <v>0</v>
      </c>
    </row>
    <row r="510" spans="2:17" x14ac:dyDescent="0.25">
      <c r="B510" s="37" t="s">
        <v>615</v>
      </c>
      <c r="C510" s="29" t="s">
        <v>52</v>
      </c>
      <c r="D510" s="35" t="s">
        <v>59</v>
      </c>
      <c r="F510" s="33">
        <v>300</v>
      </c>
      <c r="G510" s="33">
        <v>800</v>
      </c>
      <c r="H510" s="46">
        <v>1.666666666666667</v>
      </c>
      <c r="J510" s="33">
        <v>500</v>
      </c>
      <c r="L510" s="6"/>
      <c r="M510" s="6"/>
      <c r="N510" s="6">
        <v>0</v>
      </c>
      <c r="P510" s="15"/>
      <c r="Q510" s="7">
        <v>0</v>
      </c>
    </row>
    <row r="511" spans="2:17" x14ac:dyDescent="0.25">
      <c r="B511" s="37" t="s">
        <v>616</v>
      </c>
      <c r="C511" s="29" t="s">
        <v>52</v>
      </c>
      <c r="D511" s="35" t="s">
        <v>59</v>
      </c>
      <c r="F511" s="33">
        <v>350</v>
      </c>
      <c r="G511" s="33">
        <v>800</v>
      </c>
      <c r="H511" s="46">
        <v>1.285714285714286</v>
      </c>
      <c r="J511" s="33">
        <v>500</v>
      </c>
      <c r="L511" s="6"/>
      <c r="M511" s="6"/>
      <c r="N511" s="6">
        <v>0</v>
      </c>
      <c r="P511" s="15"/>
      <c r="Q511" s="7">
        <v>0</v>
      </c>
    </row>
    <row r="512" spans="2:17" x14ac:dyDescent="0.25">
      <c r="B512" s="37" t="s">
        <v>617</v>
      </c>
      <c r="C512" s="29" t="s">
        <v>52</v>
      </c>
      <c r="D512" s="35" t="s">
        <v>59</v>
      </c>
      <c r="F512" s="33">
        <v>650</v>
      </c>
      <c r="G512" s="33">
        <v>1300</v>
      </c>
      <c r="H512" s="46">
        <v>1</v>
      </c>
      <c r="J512" s="33">
        <v>1000</v>
      </c>
      <c r="L512" s="6"/>
      <c r="M512" s="6"/>
      <c r="N512" s="6">
        <v>0</v>
      </c>
      <c r="P512" s="15"/>
      <c r="Q512" s="7">
        <v>0</v>
      </c>
    </row>
    <row r="513" spans="2:17" x14ac:dyDescent="0.25">
      <c r="B513" s="37" t="s">
        <v>618</v>
      </c>
      <c r="C513" s="29" t="s">
        <v>52</v>
      </c>
      <c r="D513" s="35" t="s">
        <v>59</v>
      </c>
      <c r="F513" s="33">
        <v>700</v>
      </c>
      <c r="G513" s="33">
        <v>1300</v>
      </c>
      <c r="H513" s="46">
        <v>0.8571428571428571</v>
      </c>
      <c r="J513" s="33">
        <v>1000</v>
      </c>
      <c r="L513" s="6"/>
      <c r="M513" s="6"/>
      <c r="N513" s="6">
        <v>0</v>
      </c>
      <c r="P513" s="15"/>
      <c r="Q513" s="7">
        <v>0</v>
      </c>
    </row>
    <row r="514" spans="2:17" x14ac:dyDescent="0.25">
      <c r="B514" s="37" t="s">
        <v>619</v>
      </c>
      <c r="C514" s="29" t="s">
        <v>52</v>
      </c>
      <c r="D514" s="35" t="s">
        <v>59</v>
      </c>
      <c r="F514" s="33">
        <v>700</v>
      </c>
      <c r="G514" s="33">
        <v>1500</v>
      </c>
      <c r="H514" s="46">
        <v>1.142857142857143</v>
      </c>
      <c r="J514" s="33">
        <v>1200</v>
      </c>
      <c r="L514" s="6"/>
      <c r="M514" s="6"/>
      <c r="N514" s="6">
        <v>0</v>
      </c>
      <c r="P514" s="15"/>
      <c r="Q514" s="7">
        <v>0</v>
      </c>
    </row>
    <row r="515" spans="2:17" x14ac:dyDescent="0.25">
      <c r="B515" s="37" t="s">
        <v>620</v>
      </c>
      <c r="C515" s="29" t="s">
        <v>52</v>
      </c>
      <c r="D515" s="35" t="s">
        <v>59</v>
      </c>
      <c r="F515" s="33">
        <v>800</v>
      </c>
      <c r="G515" s="33">
        <v>1500</v>
      </c>
      <c r="H515" s="46">
        <v>0.875</v>
      </c>
      <c r="J515" s="33">
        <v>1300</v>
      </c>
      <c r="L515" s="6"/>
      <c r="M515" s="6"/>
      <c r="N515" s="6">
        <v>0</v>
      </c>
      <c r="P515" s="15"/>
      <c r="Q515" s="7">
        <v>0</v>
      </c>
    </row>
    <row r="516" spans="2:17" x14ac:dyDescent="0.25">
      <c r="B516" s="37" t="s">
        <v>621</v>
      </c>
      <c r="C516" s="29" t="s">
        <v>52</v>
      </c>
      <c r="D516" s="35" t="s">
        <v>59</v>
      </c>
      <c r="F516" s="33">
        <v>850</v>
      </c>
      <c r="G516" s="33">
        <v>1600</v>
      </c>
      <c r="H516" s="46">
        <v>0.88235294117647056</v>
      </c>
      <c r="J516" s="33">
        <v>1400</v>
      </c>
      <c r="L516" s="6"/>
      <c r="M516" s="6"/>
      <c r="N516" s="6">
        <v>0</v>
      </c>
      <c r="P516" s="15"/>
      <c r="Q516" s="7">
        <v>0</v>
      </c>
    </row>
    <row r="517" spans="2:17" x14ac:dyDescent="0.25">
      <c r="B517" s="37" t="s">
        <v>622</v>
      </c>
      <c r="C517" s="29" t="s">
        <v>52</v>
      </c>
      <c r="D517" s="35" t="s">
        <v>59</v>
      </c>
      <c r="F517" s="33">
        <v>900</v>
      </c>
      <c r="G517" s="33">
        <v>2000</v>
      </c>
      <c r="H517" s="46">
        <v>1.2222222222222221</v>
      </c>
      <c r="J517" s="33">
        <v>1500</v>
      </c>
      <c r="L517" s="6"/>
      <c r="M517" s="6"/>
      <c r="N517" s="6">
        <v>0</v>
      </c>
      <c r="P517" s="15"/>
      <c r="Q517" s="7">
        <v>0</v>
      </c>
    </row>
    <row r="518" spans="2:17" x14ac:dyDescent="0.25">
      <c r="B518" s="37" t="s">
        <v>623</v>
      </c>
      <c r="C518" s="29" t="s">
        <v>52</v>
      </c>
      <c r="D518" s="35" t="s">
        <v>59</v>
      </c>
      <c r="F518" s="33">
        <v>900</v>
      </c>
      <c r="G518" s="33">
        <v>2000</v>
      </c>
      <c r="H518" s="46">
        <v>1.2222222222222221</v>
      </c>
      <c r="J518" s="33">
        <v>1500</v>
      </c>
      <c r="L518" s="6"/>
      <c r="M518" s="6"/>
      <c r="N518" s="6">
        <v>0</v>
      </c>
      <c r="P518" s="15"/>
      <c r="Q518" s="7">
        <v>0</v>
      </c>
    </row>
    <row r="519" spans="2:17" x14ac:dyDescent="0.25">
      <c r="B519" s="37" t="s">
        <v>624</v>
      </c>
      <c r="C519" s="29" t="s">
        <v>52</v>
      </c>
      <c r="D519" s="35" t="s">
        <v>59</v>
      </c>
      <c r="F519" s="33">
        <v>1200</v>
      </c>
      <c r="G519" s="33">
        <v>2500</v>
      </c>
      <c r="H519" s="46">
        <v>1.083333333333333</v>
      </c>
      <c r="J519" s="33">
        <v>2000</v>
      </c>
      <c r="L519" s="6"/>
      <c r="M519" s="6"/>
      <c r="N519" s="6">
        <v>0</v>
      </c>
      <c r="P519" s="15"/>
      <c r="Q519" s="7">
        <v>0</v>
      </c>
    </row>
    <row r="520" spans="2:17" x14ac:dyDescent="0.25">
      <c r="B520" s="37" t="s">
        <v>625</v>
      </c>
      <c r="C520" s="29" t="s">
        <v>52</v>
      </c>
      <c r="D520" s="35" t="s">
        <v>59</v>
      </c>
      <c r="F520" s="33"/>
      <c r="G520" s="33"/>
      <c r="H520" s="46"/>
      <c r="J520" s="33"/>
      <c r="L520" s="6"/>
      <c r="M520" s="6"/>
      <c r="N520" s="6">
        <v>0</v>
      </c>
      <c r="P520" s="15"/>
      <c r="Q520" s="7">
        <v>0</v>
      </c>
    </row>
    <row r="521" spans="2:17" x14ac:dyDescent="0.25">
      <c r="B521" s="37" t="s">
        <v>626</v>
      </c>
      <c r="C521" s="29" t="s">
        <v>52</v>
      </c>
      <c r="D521" s="35" t="s">
        <v>59</v>
      </c>
      <c r="F521" s="33">
        <v>1200</v>
      </c>
      <c r="G521" s="33">
        <v>2500</v>
      </c>
      <c r="H521" s="46">
        <v>1.083333333333333</v>
      </c>
      <c r="J521" s="33">
        <v>2000</v>
      </c>
      <c r="L521" s="6"/>
      <c r="M521" s="6"/>
      <c r="N521" s="6">
        <v>0</v>
      </c>
      <c r="P521" s="15"/>
      <c r="Q521" s="7">
        <v>0</v>
      </c>
    </row>
    <row r="522" spans="2:17" x14ac:dyDescent="0.25">
      <c r="B522" s="37" t="s">
        <v>627</v>
      </c>
      <c r="C522" s="29" t="s">
        <v>52</v>
      </c>
      <c r="D522" s="35" t="s">
        <v>59</v>
      </c>
      <c r="F522" s="33">
        <v>2200</v>
      </c>
      <c r="G522" s="33">
        <v>3500</v>
      </c>
      <c r="H522" s="46">
        <v>0.59090909090909094</v>
      </c>
      <c r="J522" s="33">
        <v>3000</v>
      </c>
      <c r="L522" s="6"/>
      <c r="M522" s="6"/>
      <c r="N522" s="6">
        <v>0</v>
      </c>
      <c r="P522" s="15"/>
      <c r="Q522" s="7">
        <v>0</v>
      </c>
    </row>
    <row r="523" spans="2:17" x14ac:dyDescent="0.25">
      <c r="B523" s="37" t="s">
        <v>351</v>
      </c>
      <c r="C523" s="29" t="s">
        <v>52</v>
      </c>
      <c r="D523" s="35" t="s">
        <v>59</v>
      </c>
      <c r="F523" s="33">
        <v>2200</v>
      </c>
      <c r="G523" s="33">
        <v>4000</v>
      </c>
      <c r="H523" s="46">
        <v>0.81818181818181823</v>
      </c>
      <c r="J523" s="33">
        <v>3000</v>
      </c>
      <c r="L523" s="6"/>
      <c r="M523" s="6"/>
      <c r="N523" s="6">
        <v>0</v>
      </c>
      <c r="P523" s="15"/>
      <c r="Q523" s="7">
        <v>0</v>
      </c>
    </row>
    <row r="524" spans="2:17" x14ac:dyDescent="0.25">
      <c r="B524" s="37" t="s">
        <v>628</v>
      </c>
      <c r="C524" t="s">
        <v>380</v>
      </c>
      <c r="D524" t="s">
        <v>59</v>
      </c>
      <c r="F524" s="33">
        <v>450</v>
      </c>
      <c r="G524" s="33">
        <v>1000</v>
      </c>
      <c r="H524" s="46">
        <v>1.2222222222222221</v>
      </c>
      <c r="J524" s="33">
        <v>800</v>
      </c>
      <c r="L524" s="6"/>
      <c r="M524" s="6"/>
      <c r="N524" s="6">
        <v>0</v>
      </c>
      <c r="P524" s="15"/>
      <c r="Q524" s="7">
        <v>0</v>
      </c>
    </row>
    <row r="525" spans="2:17" x14ac:dyDescent="0.25">
      <c r="B525" s="37" t="s">
        <v>629</v>
      </c>
      <c r="C525" t="s">
        <v>380</v>
      </c>
      <c r="D525" t="s">
        <v>59</v>
      </c>
      <c r="F525" s="33">
        <v>1000</v>
      </c>
      <c r="G525" s="33">
        <v>2000</v>
      </c>
      <c r="H525" s="46">
        <v>1</v>
      </c>
      <c r="J525" s="33">
        <v>1500</v>
      </c>
      <c r="L525" s="6"/>
      <c r="M525" s="6"/>
      <c r="N525" s="6">
        <v>0</v>
      </c>
      <c r="P525" s="15"/>
      <c r="Q525" s="7">
        <v>0</v>
      </c>
    </row>
    <row r="526" spans="2:17" x14ac:dyDescent="0.25">
      <c r="B526" s="37" t="s">
        <v>630</v>
      </c>
      <c r="C526" t="s">
        <v>380</v>
      </c>
      <c r="D526" t="s">
        <v>59</v>
      </c>
      <c r="F526" s="33">
        <v>2500</v>
      </c>
      <c r="G526" s="33">
        <v>4000</v>
      </c>
      <c r="H526" s="46">
        <v>0.6</v>
      </c>
      <c r="J526" s="33">
        <v>3500</v>
      </c>
      <c r="L526" s="6"/>
      <c r="M526" s="6"/>
      <c r="N526" s="6">
        <v>0</v>
      </c>
      <c r="P526" s="15"/>
      <c r="Q526" s="7">
        <v>0</v>
      </c>
    </row>
    <row r="527" spans="2:17" x14ac:dyDescent="0.25">
      <c r="B527" s="37" t="s">
        <v>631</v>
      </c>
      <c r="C527" t="s">
        <v>380</v>
      </c>
      <c r="D527" t="s">
        <v>59</v>
      </c>
      <c r="F527" s="33">
        <v>7000</v>
      </c>
      <c r="G527" s="33"/>
      <c r="H527" s="46">
        <v>-1</v>
      </c>
      <c r="J527" s="33"/>
      <c r="L527" s="6"/>
      <c r="M527" s="6"/>
      <c r="N527" s="6">
        <v>0</v>
      </c>
      <c r="P527" s="15"/>
      <c r="Q527" s="7">
        <v>0</v>
      </c>
    </row>
    <row r="528" spans="2:17" x14ac:dyDescent="0.25">
      <c r="B528" s="37" t="s">
        <v>632</v>
      </c>
      <c r="C528" t="s">
        <v>380</v>
      </c>
      <c r="D528" t="s">
        <v>59</v>
      </c>
      <c r="F528" s="33">
        <v>300</v>
      </c>
      <c r="G528" s="33">
        <v>800</v>
      </c>
      <c r="H528" s="46">
        <v>1.666666666666667</v>
      </c>
      <c r="J528" s="33">
        <v>500</v>
      </c>
      <c r="L528" s="6"/>
      <c r="M528" s="6"/>
      <c r="N528" s="6">
        <v>0</v>
      </c>
      <c r="P528" s="15"/>
      <c r="Q528" s="7">
        <v>0</v>
      </c>
    </row>
    <row r="529" spans="1:17" x14ac:dyDescent="0.25">
      <c r="B529" s="37" t="s">
        <v>633</v>
      </c>
      <c r="C529" t="s">
        <v>380</v>
      </c>
      <c r="D529" t="s">
        <v>59</v>
      </c>
      <c r="F529" s="33">
        <v>600</v>
      </c>
      <c r="G529" s="33">
        <v>1500</v>
      </c>
      <c r="H529" s="46">
        <v>1.5</v>
      </c>
      <c r="J529" s="33">
        <v>1000</v>
      </c>
      <c r="L529" s="6"/>
      <c r="M529" s="6"/>
      <c r="N529" s="6">
        <v>0</v>
      </c>
      <c r="P529" s="15"/>
      <c r="Q529" s="7">
        <v>0</v>
      </c>
    </row>
    <row r="530" spans="1:17" x14ac:dyDescent="0.25">
      <c r="B530" s="37" t="s">
        <v>634</v>
      </c>
      <c r="C530" t="s">
        <v>380</v>
      </c>
      <c r="D530" t="s">
        <v>59</v>
      </c>
      <c r="F530" s="33">
        <v>300</v>
      </c>
      <c r="G530" s="33">
        <v>1000</v>
      </c>
      <c r="H530" s="46">
        <v>2.333333333333333</v>
      </c>
      <c r="J530" s="33">
        <v>700</v>
      </c>
      <c r="L530" s="6"/>
      <c r="M530" s="6"/>
      <c r="N530" s="6">
        <v>0</v>
      </c>
      <c r="P530" s="15"/>
      <c r="Q530" s="7">
        <v>0</v>
      </c>
    </row>
    <row r="531" spans="1:17" x14ac:dyDescent="0.25">
      <c r="B531" s="37" t="s">
        <v>635</v>
      </c>
      <c r="C531" t="s">
        <v>380</v>
      </c>
      <c r="D531" t="s">
        <v>59</v>
      </c>
      <c r="F531" s="33">
        <v>300</v>
      </c>
      <c r="G531" s="33">
        <v>800</v>
      </c>
      <c r="H531" s="46">
        <v>1.666666666666667</v>
      </c>
      <c r="J531" s="33">
        <v>500</v>
      </c>
      <c r="L531" s="6"/>
      <c r="M531" s="6"/>
      <c r="N531" s="6">
        <v>0</v>
      </c>
      <c r="P531" s="15"/>
      <c r="Q531" s="7">
        <v>0</v>
      </c>
    </row>
    <row r="532" spans="1:17" x14ac:dyDescent="0.25">
      <c r="B532" s="37" t="s">
        <v>636</v>
      </c>
      <c r="C532" s="8" t="s">
        <v>53</v>
      </c>
      <c r="D532" t="s">
        <v>88</v>
      </c>
      <c r="F532" s="33">
        <v>10000</v>
      </c>
      <c r="G532" s="33">
        <v>15000</v>
      </c>
      <c r="H532" s="46">
        <v>0.5</v>
      </c>
      <c r="J532" s="33">
        <v>13000</v>
      </c>
      <c r="L532" s="6"/>
      <c r="M532" s="6"/>
      <c r="N532" s="6">
        <v>0</v>
      </c>
      <c r="P532" s="15"/>
      <c r="Q532" s="7">
        <v>0</v>
      </c>
    </row>
    <row r="533" spans="1:17" x14ac:dyDescent="0.25">
      <c r="B533" s="37" t="s">
        <v>637</v>
      </c>
      <c r="C533" t="s">
        <v>380</v>
      </c>
      <c r="D533" t="s">
        <v>59</v>
      </c>
      <c r="F533" s="33">
        <v>2500</v>
      </c>
      <c r="G533" s="33">
        <v>4000</v>
      </c>
      <c r="H533" s="46">
        <v>0.6</v>
      </c>
      <c r="J533" s="33">
        <v>3500</v>
      </c>
      <c r="L533" s="6"/>
      <c r="M533" s="6"/>
      <c r="N533" s="6">
        <v>0</v>
      </c>
      <c r="P533" s="15"/>
      <c r="Q533" s="7">
        <v>0</v>
      </c>
    </row>
    <row r="534" spans="1:17" x14ac:dyDescent="0.25">
      <c r="B534" s="37" t="s">
        <v>638</v>
      </c>
      <c r="C534" t="s">
        <v>380</v>
      </c>
      <c r="D534" t="s">
        <v>59</v>
      </c>
      <c r="F534" s="33">
        <v>7250</v>
      </c>
      <c r="G534" s="33">
        <v>8000</v>
      </c>
      <c r="H534" s="46">
        <v>0.10344827586206901</v>
      </c>
      <c r="J534" s="33"/>
      <c r="L534" s="6"/>
      <c r="M534" s="6"/>
      <c r="N534" s="6">
        <v>0</v>
      </c>
      <c r="P534" s="15"/>
      <c r="Q534" s="7">
        <v>0</v>
      </c>
    </row>
    <row r="535" spans="1:17" x14ac:dyDescent="0.25">
      <c r="B535" s="37" t="s">
        <v>639</v>
      </c>
      <c r="C535" t="s">
        <v>380</v>
      </c>
      <c r="D535" t="s">
        <v>59</v>
      </c>
      <c r="F535" s="33">
        <v>1400</v>
      </c>
      <c r="G535" s="33">
        <v>2000</v>
      </c>
      <c r="H535" s="46">
        <v>0.42857142857142849</v>
      </c>
      <c r="J535" s="33"/>
      <c r="L535" s="6"/>
      <c r="M535" s="6"/>
      <c r="N535" s="6">
        <v>0</v>
      </c>
      <c r="P535" s="15"/>
      <c r="Q535" s="7">
        <v>0</v>
      </c>
    </row>
    <row r="536" spans="1:17" x14ac:dyDescent="0.25">
      <c r="A536" t="s">
        <v>102</v>
      </c>
      <c r="B536" s="37" t="s">
        <v>640</v>
      </c>
      <c r="C536" s="5" t="s">
        <v>54</v>
      </c>
      <c r="D536" t="s">
        <v>59</v>
      </c>
      <c r="F536" s="33">
        <v>1300</v>
      </c>
      <c r="G536" s="33">
        <v>1500</v>
      </c>
      <c r="H536" s="46">
        <v>0.15384615384615391</v>
      </c>
      <c r="J536" s="33"/>
      <c r="L536" s="6"/>
      <c r="M536" s="6"/>
      <c r="N536" s="6">
        <v>0</v>
      </c>
      <c r="P536" s="15"/>
      <c r="Q536" s="7">
        <v>0</v>
      </c>
    </row>
    <row r="537" spans="1:17" x14ac:dyDescent="0.25">
      <c r="B537" s="37" t="s">
        <v>641</v>
      </c>
      <c r="C537" s="5" t="s">
        <v>54</v>
      </c>
      <c r="D537" t="s">
        <v>59</v>
      </c>
      <c r="F537" s="33">
        <v>7500</v>
      </c>
      <c r="G537" s="33">
        <v>12000</v>
      </c>
      <c r="H537" s="46">
        <v>0.6</v>
      </c>
      <c r="J537" s="33">
        <v>10000</v>
      </c>
      <c r="L537" s="6"/>
      <c r="M537" s="6"/>
      <c r="N537" s="6">
        <v>0</v>
      </c>
      <c r="P537" s="15"/>
      <c r="Q537" s="7">
        <v>0</v>
      </c>
    </row>
    <row r="538" spans="1:17" x14ac:dyDescent="0.25">
      <c r="B538" s="37" t="s">
        <v>642</v>
      </c>
      <c r="C538" s="5" t="s">
        <v>54</v>
      </c>
      <c r="D538" t="s">
        <v>59</v>
      </c>
      <c r="F538" s="33">
        <v>1100</v>
      </c>
      <c r="G538" s="33">
        <v>1500</v>
      </c>
      <c r="H538" s="46">
        <v>0.36363636363636359</v>
      </c>
      <c r="I538">
        <v>16</v>
      </c>
      <c r="J538" s="33"/>
      <c r="L538" s="6"/>
      <c r="M538" s="6"/>
      <c r="N538" s="6">
        <v>16</v>
      </c>
      <c r="P538" s="15"/>
      <c r="Q538" s="7">
        <v>17600</v>
      </c>
    </row>
    <row r="539" spans="1:17" x14ac:dyDescent="0.25">
      <c r="B539" s="37" t="s">
        <v>643</v>
      </c>
      <c r="C539" s="5" t="s">
        <v>54</v>
      </c>
      <c r="D539" s="15" t="s">
        <v>151</v>
      </c>
      <c r="F539" s="33">
        <v>6500</v>
      </c>
      <c r="G539" s="33">
        <v>8000</v>
      </c>
      <c r="H539" s="46">
        <v>0.23076923076923081</v>
      </c>
      <c r="J539" s="33">
        <v>7500</v>
      </c>
      <c r="L539" s="6"/>
      <c r="M539" s="6"/>
      <c r="N539" s="6">
        <v>0</v>
      </c>
      <c r="P539" s="15"/>
      <c r="Q539" s="7">
        <v>0</v>
      </c>
    </row>
    <row r="540" spans="1:17" x14ac:dyDescent="0.25">
      <c r="B540" s="37" t="s">
        <v>644</v>
      </c>
      <c r="C540" s="5" t="s">
        <v>54</v>
      </c>
      <c r="D540" s="15" t="s">
        <v>151</v>
      </c>
      <c r="F540" s="33">
        <v>6300</v>
      </c>
      <c r="G540" s="33">
        <v>7500</v>
      </c>
      <c r="H540" s="46">
        <v>0.19047619047619049</v>
      </c>
      <c r="J540" s="33">
        <v>7000</v>
      </c>
      <c r="L540" s="6"/>
      <c r="M540" s="6"/>
      <c r="N540" s="6">
        <v>0</v>
      </c>
      <c r="P540" s="15"/>
      <c r="Q540" s="7">
        <v>0</v>
      </c>
    </row>
    <row r="541" spans="1:17" x14ac:dyDescent="0.25">
      <c r="B541" s="37" t="s">
        <v>645</v>
      </c>
      <c r="C541" t="s">
        <v>54</v>
      </c>
      <c r="D541" t="s">
        <v>514</v>
      </c>
      <c r="F541" s="33">
        <v>1100</v>
      </c>
      <c r="G541" s="33">
        <v>1500</v>
      </c>
      <c r="H541" s="46">
        <v>0.36363636363636359</v>
      </c>
      <c r="I541">
        <v>1</v>
      </c>
      <c r="J541" s="33"/>
      <c r="L541" s="6"/>
      <c r="M541" s="6"/>
      <c r="N541" s="6">
        <v>1</v>
      </c>
      <c r="P541" s="15"/>
      <c r="Q541" s="7">
        <v>1100</v>
      </c>
    </row>
    <row r="542" spans="1:17" x14ac:dyDescent="0.25">
      <c r="A542" t="s">
        <v>92</v>
      </c>
      <c r="B542" s="37" t="s">
        <v>646</v>
      </c>
      <c r="C542" s="5" t="s">
        <v>54</v>
      </c>
      <c r="D542" t="s">
        <v>514</v>
      </c>
      <c r="F542" s="33">
        <v>12500</v>
      </c>
      <c r="G542" s="33">
        <v>15000</v>
      </c>
      <c r="H542" s="46">
        <v>0.2</v>
      </c>
      <c r="I542">
        <v>5</v>
      </c>
      <c r="J542" s="33">
        <v>14500</v>
      </c>
      <c r="L542" s="6"/>
      <c r="M542" s="6"/>
      <c r="N542" s="6">
        <v>5</v>
      </c>
      <c r="P542" s="15"/>
      <c r="Q542" s="7">
        <v>62500</v>
      </c>
    </row>
    <row r="543" spans="1:17" x14ac:dyDescent="0.25">
      <c r="A543" t="s">
        <v>92</v>
      </c>
      <c r="B543" s="37" t="s">
        <v>647</v>
      </c>
      <c r="C543" s="5" t="s">
        <v>50</v>
      </c>
      <c r="D543" t="s">
        <v>75</v>
      </c>
      <c r="F543" s="33">
        <v>4500</v>
      </c>
      <c r="G543" s="33">
        <v>5000</v>
      </c>
      <c r="H543" s="46">
        <v>0.1111111111111111</v>
      </c>
      <c r="I543">
        <v>12</v>
      </c>
      <c r="J543" s="33">
        <v>5000</v>
      </c>
      <c r="L543" s="6"/>
      <c r="M543" s="6">
        <v>1</v>
      </c>
      <c r="N543" s="6">
        <v>11</v>
      </c>
      <c r="P543" s="15"/>
      <c r="Q543" s="7">
        <v>49500</v>
      </c>
    </row>
    <row r="544" spans="1:17" x14ac:dyDescent="0.25">
      <c r="B544" s="37" t="s">
        <v>648</v>
      </c>
      <c r="C544" s="5" t="s">
        <v>50</v>
      </c>
      <c r="D544" t="s">
        <v>75</v>
      </c>
      <c r="F544" s="33">
        <v>1500</v>
      </c>
      <c r="G544" s="33">
        <v>3000</v>
      </c>
      <c r="H544" s="46">
        <v>1</v>
      </c>
      <c r="I544">
        <v>1</v>
      </c>
      <c r="J544" s="33">
        <v>3000</v>
      </c>
      <c r="L544" s="6"/>
      <c r="M544" s="6">
        <v>1</v>
      </c>
      <c r="N544" s="6">
        <v>0</v>
      </c>
      <c r="P544" s="15"/>
      <c r="Q544" s="7">
        <v>0</v>
      </c>
    </row>
    <row r="545" spans="1:17" x14ac:dyDescent="0.25">
      <c r="A545" t="s">
        <v>102</v>
      </c>
      <c r="B545" s="37" t="s">
        <v>649</v>
      </c>
      <c r="C545" s="5" t="s">
        <v>50</v>
      </c>
      <c r="D545" t="s">
        <v>75</v>
      </c>
      <c r="F545" s="33">
        <v>2800</v>
      </c>
      <c r="G545" s="33">
        <v>4500</v>
      </c>
      <c r="H545" s="46">
        <v>0.6071428571428571</v>
      </c>
      <c r="I545">
        <v>5</v>
      </c>
      <c r="J545" s="33">
        <v>4000</v>
      </c>
      <c r="L545" s="6"/>
      <c r="M545" s="6"/>
      <c r="N545" s="6">
        <v>5</v>
      </c>
      <c r="P545" s="15"/>
      <c r="Q545" s="7">
        <v>14000</v>
      </c>
    </row>
    <row r="546" spans="1:17" x14ac:dyDescent="0.25">
      <c r="A546" t="s">
        <v>650</v>
      </c>
      <c r="B546" s="37" t="s">
        <v>651</v>
      </c>
      <c r="C546" s="5" t="s">
        <v>50</v>
      </c>
      <c r="F546" s="33">
        <v>3300</v>
      </c>
      <c r="G546" s="33">
        <v>5000</v>
      </c>
      <c r="H546" s="46">
        <v>0.51515151515151514</v>
      </c>
      <c r="I546">
        <v>11</v>
      </c>
      <c r="J546" s="33">
        <v>4500</v>
      </c>
      <c r="L546" s="6"/>
      <c r="M546" s="6"/>
      <c r="N546" s="6">
        <v>11</v>
      </c>
      <c r="P546" s="15"/>
      <c r="Q546" s="7">
        <v>36300</v>
      </c>
    </row>
    <row r="547" spans="1:17" x14ac:dyDescent="0.25">
      <c r="B547" s="37" t="s">
        <v>652</v>
      </c>
      <c r="C547" s="5" t="s">
        <v>54</v>
      </c>
      <c r="D547" t="s">
        <v>514</v>
      </c>
      <c r="F547" s="33">
        <v>4500</v>
      </c>
      <c r="G547" s="33">
        <v>10000</v>
      </c>
      <c r="H547" s="46">
        <v>1.2222222222222221</v>
      </c>
      <c r="I547">
        <v>1</v>
      </c>
      <c r="J547" s="33">
        <v>8000</v>
      </c>
      <c r="L547" s="6"/>
      <c r="M547" s="6"/>
      <c r="N547" s="6">
        <v>1</v>
      </c>
      <c r="P547" s="15"/>
      <c r="Q547" s="7">
        <v>4500</v>
      </c>
    </row>
    <row r="548" spans="1:17" x14ac:dyDescent="0.25">
      <c r="B548" s="37" t="s">
        <v>653</v>
      </c>
      <c r="C548" s="5" t="s">
        <v>54</v>
      </c>
      <c r="D548" t="s">
        <v>514</v>
      </c>
      <c r="F548" s="33">
        <v>1750</v>
      </c>
      <c r="G548" s="33">
        <v>3500</v>
      </c>
      <c r="H548" s="46">
        <v>1</v>
      </c>
      <c r="I548">
        <v>3</v>
      </c>
      <c r="J548" s="33">
        <v>3000</v>
      </c>
      <c r="L548" s="6"/>
      <c r="M548" s="6"/>
      <c r="N548" s="6">
        <v>3</v>
      </c>
      <c r="P548" s="15"/>
      <c r="Q548" s="7">
        <v>5250</v>
      </c>
    </row>
    <row r="549" spans="1:17" x14ac:dyDescent="0.25">
      <c r="B549" s="37" t="s">
        <v>654</v>
      </c>
      <c r="C549" s="5" t="s">
        <v>54</v>
      </c>
      <c r="D549" t="s">
        <v>514</v>
      </c>
      <c r="F549" s="33">
        <v>2500</v>
      </c>
      <c r="G549" s="33">
        <v>5000</v>
      </c>
      <c r="H549" s="46">
        <v>1</v>
      </c>
      <c r="I549">
        <v>1</v>
      </c>
      <c r="J549" s="33">
        <v>4000</v>
      </c>
      <c r="L549" s="6"/>
      <c r="M549" s="6"/>
      <c r="N549" s="6">
        <v>1</v>
      </c>
      <c r="P549" s="15"/>
      <c r="Q549" s="7">
        <v>2500</v>
      </c>
    </row>
    <row r="550" spans="1:17" x14ac:dyDescent="0.25">
      <c r="B550" s="37" t="s">
        <v>655</v>
      </c>
      <c r="C550" s="5" t="s">
        <v>54</v>
      </c>
      <c r="D550" t="s">
        <v>514</v>
      </c>
      <c r="F550" s="33">
        <v>3500</v>
      </c>
      <c r="G550" s="33">
        <v>7500</v>
      </c>
      <c r="H550" s="46">
        <v>1.142857142857143</v>
      </c>
      <c r="I550">
        <v>3</v>
      </c>
      <c r="J550" s="33">
        <v>5000</v>
      </c>
      <c r="L550" s="6"/>
      <c r="M550" s="6"/>
      <c r="N550" s="6">
        <v>3</v>
      </c>
      <c r="P550" s="15"/>
      <c r="Q550" s="7">
        <v>10500</v>
      </c>
    </row>
    <row r="551" spans="1:17" x14ac:dyDescent="0.25">
      <c r="B551" s="37" t="s">
        <v>656</v>
      </c>
      <c r="C551" s="5" t="s">
        <v>54</v>
      </c>
      <c r="D551" t="s">
        <v>59</v>
      </c>
      <c r="F551" s="33">
        <v>650</v>
      </c>
      <c r="G551" s="33">
        <v>1000</v>
      </c>
      <c r="H551" s="46">
        <v>0.53846153846153844</v>
      </c>
      <c r="I551">
        <v>50</v>
      </c>
      <c r="J551" s="33">
        <v>1000</v>
      </c>
      <c r="L551" s="6"/>
      <c r="M551" s="6"/>
      <c r="N551" s="6">
        <v>50</v>
      </c>
      <c r="P551" s="15"/>
      <c r="Q551" s="7">
        <v>32500</v>
      </c>
    </row>
    <row r="552" spans="1:17" x14ac:dyDescent="0.25">
      <c r="B552" s="37"/>
      <c r="C552" s="37"/>
      <c r="F552" s="33"/>
      <c r="G552" s="33"/>
      <c r="H552" s="46"/>
      <c r="J552" s="33"/>
      <c r="L552" s="6"/>
      <c r="M552" s="6"/>
      <c r="N552" s="6">
        <v>0</v>
      </c>
      <c r="P552" s="15"/>
      <c r="Q552" s="7">
        <v>0</v>
      </c>
    </row>
    <row r="553" spans="1:17" x14ac:dyDescent="0.25">
      <c r="B553" s="37"/>
      <c r="C553" s="37"/>
      <c r="F553" s="33"/>
      <c r="G553" s="33"/>
      <c r="H553" s="46"/>
      <c r="J553" s="33"/>
      <c r="L553" s="6"/>
      <c r="M553" s="6"/>
      <c r="N553" s="6">
        <v>0</v>
      </c>
      <c r="P553" s="15"/>
      <c r="Q553" s="7">
        <v>0</v>
      </c>
    </row>
    <row r="554" spans="1:17" x14ac:dyDescent="0.25">
      <c r="B554" s="37"/>
      <c r="C554" s="37"/>
      <c r="F554" s="33"/>
      <c r="G554" s="33"/>
      <c r="H554" s="46"/>
      <c r="J554" s="33"/>
      <c r="L554" s="6"/>
      <c r="M554" s="6"/>
      <c r="N554" s="6">
        <v>0</v>
      </c>
      <c r="P554" s="15"/>
      <c r="Q554" s="7">
        <v>0</v>
      </c>
    </row>
    <row r="555" spans="1:17" x14ac:dyDescent="0.25">
      <c r="B555" s="37"/>
      <c r="C555" s="37"/>
      <c r="F555" s="33"/>
      <c r="G555" s="33"/>
      <c r="H555" s="46"/>
      <c r="J555" s="33"/>
      <c r="L555" s="6"/>
      <c r="M555" s="6"/>
      <c r="N555" s="6">
        <v>0</v>
      </c>
      <c r="P555" s="15"/>
      <c r="Q555" s="7">
        <v>0</v>
      </c>
    </row>
    <row r="556" spans="1:17" ht="15.95" customHeight="1" thickBot="1" x14ac:dyDescent="0.3">
      <c r="A556" t="s">
        <v>99</v>
      </c>
      <c r="B556" s="37"/>
      <c r="F556" s="33"/>
      <c r="G556" s="33"/>
      <c r="H556" s="46"/>
      <c r="J556" s="33"/>
      <c r="L556" s="6">
        <v>0</v>
      </c>
      <c r="M556" s="6">
        <v>0</v>
      </c>
      <c r="N556" s="6">
        <v>0</v>
      </c>
      <c r="P556" s="15" t="s">
        <v>76</v>
      </c>
      <c r="Q556" s="7">
        <v>0</v>
      </c>
    </row>
    <row r="557" spans="1:17" ht="15.95" customHeight="1" thickBot="1" x14ac:dyDescent="0.3">
      <c r="A557" t="s">
        <v>102</v>
      </c>
      <c r="B557" s="11" t="s">
        <v>657</v>
      </c>
      <c r="C557" s="19"/>
      <c r="D557" s="19"/>
      <c r="E557" s="19"/>
      <c r="F557" s="19"/>
      <c r="G557" s="19"/>
      <c r="H557" s="19"/>
      <c r="I557" s="12">
        <v>3043</v>
      </c>
      <c r="J557" s="12"/>
      <c r="K557" s="12"/>
      <c r="L557" s="12">
        <v>0</v>
      </c>
      <c r="M557" s="12">
        <v>502</v>
      </c>
      <c r="N557" s="12">
        <v>2541</v>
      </c>
      <c r="O557" s="19"/>
      <c r="P557" s="19"/>
      <c r="Q557" s="13">
        <v>3194164</v>
      </c>
    </row>
    <row r="558" spans="1:17" ht="15.95" customHeight="1" thickTop="1" x14ac:dyDescent="0.25">
      <c r="J558" s="26"/>
    </row>
    <row r="559" spans="1:17" x14ac:dyDescent="0.25">
      <c r="J559" s="26"/>
    </row>
    <row r="560" spans="1:17" x14ac:dyDescent="0.25">
      <c r="J560" s="26"/>
    </row>
    <row r="561" spans="10:10" x14ac:dyDescent="0.25">
      <c r="J561" s="26"/>
    </row>
    <row r="562" spans="10:10" x14ac:dyDescent="0.25">
      <c r="J562" s="26"/>
    </row>
    <row r="563" spans="10:10" x14ac:dyDescent="0.25">
      <c r="J563" s="26"/>
    </row>
    <row r="564" spans="10:10" x14ac:dyDescent="0.25">
      <c r="J564" s="26"/>
    </row>
    <row r="565" spans="10:10" x14ac:dyDescent="0.25">
      <c r="J565" s="26"/>
    </row>
    <row r="566" spans="10:10" x14ac:dyDescent="0.25">
      <c r="J566" s="26"/>
    </row>
    <row r="567" spans="10:10" x14ac:dyDescent="0.25">
      <c r="J567" s="26"/>
    </row>
    <row r="568" spans="10:10" x14ac:dyDescent="0.25">
      <c r="J568" s="26"/>
    </row>
    <row r="569" spans="10:10" x14ac:dyDescent="0.25">
      <c r="J569" s="26"/>
    </row>
    <row r="570" spans="10:10" x14ac:dyDescent="0.25">
      <c r="J570" s="26"/>
    </row>
    <row r="571" spans="10:10" x14ac:dyDescent="0.25">
      <c r="J571" s="26"/>
    </row>
    <row r="572" spans="10:10" x14ac:dyDescent="0.25">
      <c r="J572" s="26"/>
    </row>
    <row r="573" spans="10:10" x14ac:dyDescent="0.25">
      <c r="J573" s="26"/>
    </row>
    <row r="574" spans="10:10" x14ac:dyDescent="0.25">
      <c r="J574" s="26"/>
    </row>
    <row r="575" spans="10:10" x14ac:dyDescent="0.25">
      <c r="J575" s="26"/>
    </row>
    <row r="576" spans="10:10" x14ac:dyDescent="0.25">
      <c r="J576" s="26"/>
    </row>
    <row r="577" spans="10:10" x14ac:dyDescent="0.25">
      <c r="J577" s="26"/>
    </row>
    <row r="578" spans="10:10" x14ac:dyDescent="0.25">
      <c r="J578" s="26"/>
    </row>
    <row r="579" spans="10:10" x14ac:dyDescent="0.25">
      <c r="J579" s="26"/>
    </row>
    <row r="580" spans="10:10" x14ac:dyDescent="0.25">
      <c r="J580" s="26"/>
    </row>
    <row r="581" spans="10:10" x14ac:dyDescent="0.25">
      <c r="J581" s="26"/>
    </row>
    <row r="582" spans="10:10" x14ac:dyDescent="0.25">
      <c r="J582" s="26"/>
    </row>
    <row r="583" spans="10:10" x14ac:dyDescent="0.25">
      <c r="J583" s="26"/>
    </row>
    <row r="584" spans="10:10" x14ac:dyDescent="0.25">
      <c r="J584" s="26"/>
    </row>
    <row r="585" spans="10:10" x14ac:dyDescent="0.25">
      <c r="J585" s="26"/>
    </row>
    <row r="586" spans="10:10" x14ac:dyDescent="0.25">
      <c r="J586" s="26"/>
    </row>
    <row r="587" spans="10:10" x14ac:dyDescent="0.25">
      <c r="J587" s="26"/>
    </row>
    <row r="588" spans="10:10" x14ac:dyDescent="0.25">
      <c r="J588" s="26"/>
    </row>
    <row r="589" spans="10:10" x14ac:dyDescent="0.25">
      <c r="J589" s="26"/>
    </row>
    <row r="590" spans="10:10" x14ac:dyDescent="0.25">
      <c r="J590" s="26"/>
    </row>
    <row r="591" spans="10:10" x14ac:dyDescent="0.25">
      <c r="J591" s="26"/>
    </row>
    <row r="592" spans="10:10" x14ac:dyDescent="0.25">
      <c r="J592" s="26"/>
    </row>
    <row r="593" spans="10:10" x14ac:dyDescent="0.25">
      <c r="J593" s="26"/>
    </row>
    <row r="594" spans="10:10" x14ac:dyDescent="0.25">
      <c r="J594" s="26"/>
    </row>
    <row r="595" spans="10:10" x14ac:dyDescent="0.25">
      <c r="J595" s="26"/>
    </row>
    <row r="596" spans="10:10" x14ac:dyDescent="0.25">
      <c r="J596" s="26"/>
    </row>
    <row r="597" spans="10:10" x14ac:dyDescent="0.25">
      <c r="J597" s="26"/>
    </row>
    <row r="598" spans="10:10" x14ac:dyDescent="0.25">
      <c r="J598" s="26"/>
    </row>
    <row r="599" spans="10:10" x14ac:dyDescent="0.25">
      <c r="J599" s="26"/>
    </row>
    <row r="600" spans="10:10" x14ac:dyDescent="0.25">
      <c r="J600" s="26"/>
    </row>
    <row r="601" spans="10:10" x14ac:dyDescent="0.25">
      <c r="J601" s="26"/>
    </row>
    <row r="602" spans="10:10" x14ac:dyDescent="0.25">
      <c r="J602" s="26"/>
    </row>
    <row r="603" spans="10:10" x14ac:dyDescent="0.25">
      <c r="J603" s="26"/>
    </row>
    <row r="604" spans="10:10" x14ac:dyDescent="0.25">
      <c r="J604" s="26"/>
    </row>
    <row r="605" spans="10:10" x14ac:dyDescent="0.25">
      <c r="J605" s="26"/>
    </row>
    <row r="606" spans="10:10" x14ac:dyDescent="0.25">
      <c r="J606" s="26"/>
    </row>
    <row r="607" spans="10:10" x14ac:dyDescent="0.25">
      <c r="J607" s="26"/>
    </row>
    <row r="608" spans="10:10" x14ac:dyDescent="0.25">
      <c r="J608" s="26"/>
    </row>
    <row r="609" spans="10:10" x14ac:dyDescent="0.25">
      <c r="J609" s="26"/>
    </row>
    <row r="610" spans="10:10" x14ac:dyDescent="0.25">
      <c r="J610" s="26"/>
    </row>
    <row r="611" spans="10:10" x14ac:dyDescent="0.25">
      <c r="J611" s="26"/>
    </row>
    <row r="612" spans="10:10" x14ac:dyDescent="0.25">
      <c r="J612" s="26"/>
    </row>
    <row r="613" spans="10:10" x14ac:dyDescent="0.25">
      <c r="J613" s="26"/>
    </row>
    <row r="614" spans="10:10" x14ac:dyDescent="0.25">
      <c r="J614" s="26"/>
    </row>
  </sheetData>
  <conditionalFormatting sqref="P5:P556">
    <cfRule type="cellIs" dxfId="0" priority="1" operator="equal">
      <formula>"RÉAPPROVISIONNER"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4"/>
  <sheetViews>
    <sheetView tabSelected="1" workbookViewId="0">
      <selection activeCell="B25" sqref="B25"/>
    </sheetView>
  </sheetViews>
  <sheetFormatPr baseColWidth="10" defaultColWidth="8.85546875" defaultRowHeight="15" x14ac:dyDescent="0.25"/>
  <cols>
    <col min="1" max="1" width="14" customWidth="1"/>
    <col min="2" max="2" width="18" customWidth="1"/>
    <col min="3" max="3" width="16" customWidth="1"/>
    <col min="4" max="4" width="70" customWidth="1"/>
    <col min="5" max="5" width="16" customWidth="1"/>
    <col min="6" max="6" width="24" customWidth="1"/>
    <col min="7" max="7" width="21" customWidth="1"/>
    <col min="8" max="8" width="32" customWidth="1"/>
  </cols>
  <sheetData>
    <row r="2" spans="1:8" ht="23.1" customHeight="1" x14ac:dyDescent="0.5">
      <c r="A2" s="1" t="s">
        <v>0</v>
      </c>
    </row>
    <row r="3" spans="1:8" x14ac:dyDescent="0.25">
      <c r="A3" s="2" t="s">
        <v>1</v>
      </c>
    </row>
    <row r="4" spans="1:8" ht="15.95" customHeight="1" x14ac:dyDescent="0.25">
      <c r="A4" s="52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</row>
    <row r="5" spans="1:8" x14ac:dyDescent="0.25">
      <c r="A5" s="20" t="s">
        <v>11</v>
      </c>
      <c r="B5" s="15" t="s">
        <v>12</v>
      </c>
      <c r="C5" s="15" t="s">
        <v>13</v>
      </c>
      <c r="D5" s="5"/>
      <c r="E5" s="6">
        <v>50</v>
      </c>
      <c r="F5" s="7">
        <v>4200</v>
      </c>
      <c r="G5" s="7">
        <v>210000</v>
      </c>
      <c r="H5" s="5" t="s">
        <v>14</v>
      </c>
    </row>
    <row r="6" spans="1:8" x14ac:dyDescent="0.25">
      <c r="A6" s="21" t="s">
        <v>11</v>
      </c>
      <c r="B6" s="17" t="s">
        <v>12</v>
      </c>
      <c r="C6" s="17" t="s">
        <v>15</v>
      </c>
      <c r="D6" s="8"/>
      <c r="E6" s="9">
        <v>100</v>
      </c>
      <c r="F6" s="10">
        <v>3100</v>
      </c>
      <c r="G6" s="10">
        <v>310000</v>
      </c>
      <c r="H6" s="8" t="s">
        <v>16</v>
      </c>
    </row>
    <row r="7" spans="1:8" x14ac:dyDescent="0.25">
      <c r="A7" s="20" t="s">
        <v>17</v>
      </c>
      <c r="B7" s="15" t="s">
        <v>18</v>
      </c>
      <c r="C7" s="15" t="s">
        <v>13</v>
      </c>
      <c r="D7" s="5"/>
      <c r="E7" s="6">
        <v>10</v>
      </c>
      <c r="F7" s="7">
        <v>4800</v>
      </c>
      <c r="G7" s="7">
        <v>48000</v>
      </c>
      <c r="H7" s="5" t="s">
        <v>19</v>
      </c>
    </row>
    <row r="8" spans="1:8" x14ac:dyDescent="0.25">
      <c r="A8" s="21" t="s">
        <v>17</v>
      </c>
      <c r="B8" s="17" t="s">
        <v>18</v>
      </c>
      <c r="C8" s="17" t="s">
        <v>15</v>
      </c>
      <c r="D8" s="8"/>
      <c r="E8" s="9">
        <v>15</v>
      </c>
      <c r="F8" s="10">
        <v>3700</v>
      </c>
      <c r="G8" s="10">
        <v>55500</v>
      </c>
      <c r="H8" s="8" t="s">
        <v>20</v>
      </c>
    </row>
    <row r="9" spans="1:8" x14ac:dyDescent="0.25">
      <c r="A9" s="20" t="s">
        <v>17</v>
      </c>
      <c r="B9" s="15" t="s">
        <v>18</v>
      </c>
      <c r="C9" s="15" t="s">
        <v>21</v>
      </c>
      <c r="D9" s="5"/>
      <c r="E9" s="6">
        <v>5</v>
      </c>
      <c r="F9" s="7">
        <v>3200</v>
      </c>
      <c r="G9" s="7">
        <v>16000</v>
      </c>
      <c r="H9" s="5" t="s">
        <v>22</v>
      </c>
    </row>
    <row r="10" spans="1:8" x14ac:dyDescent="0.25">
      <c r="A10" s="21" t="s">
        <v>23</v>
      </c>
      <c r="B10" s="17" t="s">
        <v>18</v>
      </c>
      <c r="C10" s="17" t="s">
        <v>24</v>
      </c>
      <c r="D10" s="8"/>
      <c r="E10" s="9">
        <v>4</v>
      </c>
      <c r="F10" s="10">
        <v>17500</v>
      </c>
      <c r="G10" s="10">
        <v>70000</v>
      </c>
      <c r="H10" s="8" t="s">
        <v>25</v>
      </c>
    </row>
    <row r="11" spans="1:8" x14ac:dyDescent="0.25">
      <c r="A11" s="20" t="s">
        <v>23</v>
      </c>
      <c r="B11" s="15" t="s">
        <v>12</v>
      </c>
      <c r="C11" s="15" t="s">
        <v>26</v>
      </c>
      <c r="D11" s="5"/>
      <c r="E11" s="6">
        <v>10</v>
      </c>
      <c r="F11" s="7">
        <v>18500</v>
      </c>
      <c r="G11" s="7">
        <v>185000</v>
      </c>
      <c r="H11" s="5" t="s">
        <v>27</v>
      </c>
    </row>
    <row r="12" spans="1:8" x14ac:dyDescent="0.25">
      <c r="A12" s="21" t="s">
        <v>23</v>
      </c>
      <c r="B12" s="17" t="s">
        <v>18</v>
      </c>
      <c r="C12" s="17" t="s">
        <v>26</v>
      </c>
      <c r="D12" s="8"/>
      <c r="E12" s="9">
        <v>2</v>
      </c>
      <c r="F12" s="10">
        <v>23500</v>
      </c>
      <c r="G12" s="10">
        <v>47000</v>
      </c>
      <c r="H12" s="8" t="s">
        <v>28</v>
      </c>
    </row>
    <row r="13" spans="1:8" x14ac:dyDescent="0.25">
      <c r="A13" s="20" t="s">
        <v>23</v>
      </c>
      <c r="B13" s="15" t="s">
        <v>18</v>
      </c>
      <c r="C13" s="15" t="s">
        <v>29</v>
      </c>
      <c r="D13" s="5"/>
      <c r="E13" s="6">
        <v>500</v>
      </c>
      <c r="F13" s="7">
        <v>320</v>
      </c>
      <c r="G13" s="7">
        <v>160000</v>
      </c>
      <c r="H13" s="5" t="s">
        <v>30</v>
      </c>
    </row>
    <row r="14" spans="1:8" ht="15.75" customHeight="1" thickBot="1" x14ac:dyDescent="0.3">
      <c r="A14" s="21" t="s">
        <v>23</v>
      </c>
      <c r="B14" s="17" t="s">
        <v>18</v>
      </c>
      <c r="C14" s="17" t="s">
        <v>13</v>
      </c>
      <c r="D14" s="8"/>
      <c r="E14" s="9">
        <v>45</v>
      </c>
      <c r="F14" s="10">
        <v>4800</v>
      </c>
      <c r="G14" s="10">
        <v>216000</v>
      </c>
      <c r="H14" s="8" t="s">
        <v>31</v>
      </c>
    </row>
    <row r="15" spans="1:8" ht="15.75" customHeight="1" thickBot="1" x14ac:dyDescent="0.3">
      <c r="A15" s="19"/>
      <c r="B15" s="19"/>
      <c r="C15" s="19"/>
      <c r="D15" s="11" t="s">
        <v>32</v>
      </c>
      <c r="E15" s="12">
        <v>741</v>
      </c>
      <c r="F15" s="19"/>
      <c r="G15" s="13">
        <v>1317500</v>
      </c>
      <c r="H15" s="19"/>
    </row>
    <row r="16" spans="1:8" ht="15.75" customHeight="1" thickTop="1" x14ac:dyDescent="0.25">
      <c r="A16" t="s">
        <v>33</v>
      </c>
      <c r="B16" t="s">
        <v>18</v>
      </c>
      <c r="C16" t="s">
        <v>34</v>
      </c>
      <c r="D16" t="s">
        <v>35</v>
      </c>
      <c r="E16">
        <v>1</v>
      </c>
      <c r="F16">
        <v>500</v>
      </c>
      <c r="G16">
        <v>500</v>
      </c>
      <c r="H16" t="s">
        <v>36</v>
      </c>
    </row>
    <row r="17" spans="1:8" x14ac:dyDescent="0.25">
      <c r="A17" t="s">
        <v>33</v>
      </c>
      <c r="B17" t="s">
        <v>18</v>
      </c>
      <c r="C17" t="s">
        <v>34</v>
      </c>
      <c r="D17" t="s">
        <v>37</v>
      </c>
      <c r="E17">
        <v>1</v>
      </c>
      <c r="F17">
        <v>500</v>
      </c>
      <c r="G17">
        <v>500</v>
      </c>
      <c r="H17" t="s">
        <v>36</v>
      </c>
    </row>
    <row r="18" spans="1:8" x14ac:dyDescent="0.25">
      <c r="A18" t="s">
        <v>33</v>
      </c>
      <c r="B18" t="s">
        <v>18</v>
      </c>
      <c r="C18" t="s">
        <v>38</v>
      </c>
      <c r="D18" t="s">
        <v>39</v>
      </c>
      <c r="E18">
        <v>1</v>
      </c>
      <c r="F18">
        <v>1000</v>
      </c>
      <c r="G18">
        <v>1000</v>
      </c>
      <c r="H18" t="s">
        <v>36</v>
      </c>
    </row>
    <row r="19" spans="1:8" x14ac:dyDescent="0.25">
      <c r="A19" s="51">
        <v>46293</v>
      </c>
      <c r="B19" t="s">
        <v>18</v>
      </c>
      <c r="C19" t="s">
        <v>658</v>
      </c>
      <c r="D19" t="s">
        <v>659</v>
      </c>
      <c r="E19">
        <v>1</v>
      </c>
      <c r="F19">
        <v>1000</v>
      </c>
      <c r="G19">
        <v>1000</v>
      </c>
      <c r="H19" t="s">
        <v>36</v>
      </c>
    </row>
    <row r="20" spans="1:8" x14ac:dyDescent="0.25">
      <c r="A20" s="51">
        <v>46293</v>
      </c>
      <c r="B20" t="s">
        <v>18</v>
      </c>
      <c r="C20" t="s">
        <v>658</v>
      </c>
      <c r="D20" t="s">
        <v>660</v>
      </c>
      <c r="E20">
        <v>1</v>
      </c>
      <c r="F20">
        <v>500</v>
      </c>
      <c r="G20">
        <v>500</v>
      </c>
      <c r="H20" t="s">
        <v>36</v>
      </c>
    </row>
    <row r="21" spans="1:8" x14ac:dyDescent="0.25">
      <c r="A21" s="51">
        <v>46293</v>
      </c>
      <c r="B21" t="s">
        <v>18</v>
      </c>
      <c r="C21" t="s">
        <v>658</v>
      </c>
      <c r="D21" t="s">
        <v>661</v>
      </c>
      <c r="E21">
        <v>1</v>
      </c>
      <c r="F21">
        <v>1000</v>
      </c>
      <c r="G21">
        <v>1000</v>
      </c>
      <c r="H21" t="s">
        <v>36</v>
      </c>
    </row>
    <row r="22" spans="1:8" x14ac:dyDescent="0.25">
      <c r="A22" s="51">
        <v>46293</v>
      </c>
      <c r="B22" t="s">
        <v>18</v>
      </c>
      <c r="C22" t="s">
        <v>658</v>
      </c>
      <c r="D22" t="s">
        <v>662</v>
      </c>
      <c r="E22">
        <v>2</v>
      </c>
      <c r="F22">
        <v>300</v>
      </c>
      <c r="G22">
        <v>300</v>
      </c>
      <c r="H22" t="s">
        <v>36</v>
      </c>
    </row>
    <row r="23" spans="1:8" x14ac:dyDescent="0.25">
      <c r="A23" s="51"/>
    </row>
    <row r="24" spans="1:8" x14ac:dyDescent="0.25">
      <c r="A24" s="51"/>
    </row>
  </sheetData>
  <phoneticPr fontId="9" type="noConversion"/>
  <dataValidations count="1">
    <dataValidation type="list" allowBlank="1" sqref="B5:B990" xr:uid="{00000000-0002-0000-0200-000000000000}">
      <formula1>"Entrée,Sortie"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Catalogue</vt:lpstr>
      <vt:lpstr>Mouvements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KOLO ABRAHAM SILUE</cp:lastModifiedBy>
  <dcterms:created xsi:type="dcterms:W3CDTF">2026-08-22T11:24:23Z</dcterms:created>
  <dcterms:modified xsi:type="dcterms:W3CDTF">2026-09-28T18:40:10Z</dcterms:modified>
</cp:coreProperties>
</file>